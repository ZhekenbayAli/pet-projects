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ozhak\Desktop\"/>
    </mc:Choice>
  </mc:AlternateContent>
  <xr:revisionPtr revIDLastSave="0" documentId="13_ncr:1_{92A9B42B-666E-4DD6-AE11-649883CFF450}" xr6:coauthVersionLast="47" xr6:coauthVersionMax="47" xr10:uidLastSave="{00000000-0000-0000-0000-000000000000}"/>
  <bookViews>
    <workbookView xWindow="5760" yWindow="1840" windowWidth="19200" windowHeight="11170" firstSheet="9" activeTab="11" xr2:uid="{00000000-000D-0000-FFFF-FFFF00000000}"/>
  </bookViews>
  <sheets>
    <sheet name="1корзина(1кв)" sheetId="1" r:id="rId1"/>
    <sheet name="1корзина(2кв)" sheetId="2" r:id="rId2"/>
    <sheet name="1корзина(3кв)" sheetId="3" r:id="rId3"/>
    <sheet name="1корзина(4кв)" sheetId="4" r:id="rId4"/>
    <sheet name="2корзина(1кв)" sheetId="6" r:id="rId5"/>
    <sheet name="2корзина(2кв)" sheetId="7" r:id="rId6"/>
    <sheet name="2корзина(3кв)" sheetId="8" r:id="rId7"/>
    <sheet name="2корзина(4кв)" sheetId="9" r:id="rId8"/>
    <sheet name="3корзина(1кв)" sheetId="10" r:id="rId9"/>
    <sheet name="3корзина(2кв)" sheetId="11" r:id="rId10"/>
    <sheet name="3корзина(3кв)" sheetId="12" r:id="rId11"/>
    <sheet name="3корзина(4кв)" sheetId="16" r:id="rId12"/>
    <sheet name="Матрица Марковица" sheetId="17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7" l="1" a="1"/>
  <c r="G36" i="17" s="1"/>
  <c r="G29" i="17" a="1"/>
  <c r="G29" i="17" s="1"/>
  <c r="G22" i="17" a="1"/>
  <c r="G22" i="17" s="1"/>
  <c r="G15" i="17" a="1"/>
  <c r="G15" i="17" s="1"/>
  <c r="I10" i="17"/>
  <c r="H10" i="17"/>
  <c r="G10" i="17"/>
  <c r="I9" i="17"/>
  <c r="H9" i="17"/>
  <c r="G9" i="17"/>
  <c r="I8" i="17"/>
  <c r="H8" i="17"/>
  <c r="G8" i="17"/>
  <c r="G335" i="16" l="1"/>
  <c r="M335" i="16" s="1"/>
  <c r="F335" i="16"/>
  <c r="L335" i="16" s="1"/>
  <c r="E335" i="16"/>
  <c r="K335" i="16" s="1"/>
  <c r="K331" i="16"/>
  <c r="G331" i="16"/>
  <c r="M331" i="16" s="1"/>
  <c r="F331" i="16"/>
  <c r="L331" i="16" s="1"/>
  <c r="E331" i="16"/>
  <c r="G327" i="16"/>
  <c r="M327" i="16" s="1"/>
  <c r="F327" i="16"/>
  <c r="L327" i="16" s="1"/>
  <c r="E327" i="16"/>
  <c r="K327" i="16" s="1"/>
  <c r="M323" i="16"/>
  <c r="G323" i="16"/>
  <c r="F323" i="16"/>
  <c r="L323" i="16" s="1"/>
  <c r="E323" i="16"/>
  <c r="K323" i="16" s="1"/>
  <c r="G319" i="16"/>
  <c r="M319" i="16" s="1"/>
  <c r="F319" i="16"/>
  <c r="L319" i="16" s="1"/>
  <c r="E319" i="16"/>
  <c r="K319" i="16" s="1"/>
  <c r="M315" i="16"/>
  <c r="L315" i="16"/>
  <c r="G315" i="16"/>
  <c r="F315" i="16"/>
  <c r="E315" i="16"/>
  <c r="K315" i="16" s="1"/>
  <c r="G311" i="16"/>
  <c r="M311" i="16" s="1"/>
  <c r="F311" i="16"/>
  <c r="L311" i="16" s="1"/>
  <c r="E311" i="16"/>
  <c r="K311" i="16" s="1"/>
  <c r="M307" i="16"/>
  <c r="G307" i="16"/>
  <c r="F307" i="16"/>
  <c r="L307" i="16" s="1"/>
  <c r="E307" i="16"/>
  <c r="K307" i="16" s="1"/>
  <c r="M303" i="16"/>
  <c r="L303" i="16"/>
  <c r="K303" i="16"/>
  <c r="G303" i="16"/>
  <c r="F303" i="16"/>
  <c r="E303" i="16"/>
  <c r="G299" i="16"/>
  <c r="M299" i="16" s="1"/>
  <c r="F299" i="16"/>
  <c r="L299" i="16" s="1"/>
  <c r="E299" i="16"/>
  <c r="K299" i="16" s="1"/>
  <c r="L295" i="16"/>
  <c r="K295" i="16"/>
  <c r="G295" i="16"/>
  <c r="M295" i="16" s="1"/>
  <c r="F295" i="16"/>
  <c r="E295" i="16"/>
  <c r="G291" i="16"/>
  <c r="M291" i="16" s="1"/>
  <c r="F291" i="16"/>
  <c r="L291" i="16" s="1"/>
  <c r="E291" i="16"/>
  <c r="K291" i="16" s="1"/>
  <c r="M287" i="16"/>
  <c r="L287" i="16"/>
  <c r="K287" i="16"/>
  <c r="G287" i="16"/>
  <c r="F287" i="16"/>
  <c r="E287" i="16"/>
  <c r="K283" i="16"/>
  <c r="G283" i="16"/>
  <c r="M283" i="16" s="1"/>
  <c r="F283" i="16"/>
  <c r="L283" i="16" s="1"/>
  <c r="E283" i="16"/>
  <c r="G279" i="16"/>
  <c r="M279" i="16" s="1"/>
  <c r="F279" i="16"/>
  <c r="L279" i="16" s="1"/>
  <c r="E279" i="16"/>
  <c r="K279" i="16" s="1"/>
  <c r="G275" i="16"/>
  <c r="M275" i="16" s="1"/>
  <c r="F275" i="16"/>
  <c r="L275" i="16" s="1"/>
  <c r="E275" i="16"/>
  <c r="K275" i="16" s="1"/>
  <c r="G271" i="16"/>
  <c r="M271" i="16" s="1"/>
  <c r="F271" i="16"/>
  <c r="L271" i="16" s="1"/>
  <c r="E271" i="16"/>
  <c r="K271" i="16" s="1"/>
  <c r="K267" i="16"/>
  <c r="G267" i="16"/>
  <c r="M267" i="16" s="1"/>
  <c r="F267" i="16"/>
  <c r="L267" i="16" s="1"/>
  <c r="E267" i="16"/>
  <c r="G263" i="16"/>
  <c r="M263" i="16" s="1"/>
  <c r="F263" i="16"/>
  <c r="L263" i="16" s="1"/>
  <c r="E263" i="16"/>
  <c r="K263" i="16" s="1"/>
  <c r="M259" i="16"/>
  <c r="G259" i="16"/>
  <c r="F259" i="16"/>
  <c r="L259" i="16" s="1"/>
  <c r="E259" i="16"/>
  <c r="K259" i="16" s="1"/>
  <c r="G255" i="16"/>
  <c r="M255" i="16" s="1"/>
  <c r="F255" i="16"/>
  <c r="L255" i="16" s="1"/>
  <c r="E255" i="16"/>
  <c r="K255" i="16" s="1"/>
  <c r="M251" i="16"/>
  <c r="L251" i="16"/>
  <c r="G251" i="16"/>
  <c r="F251" i="16"/>
  <c r="E251" i="16"/>
  <c r="K251" i="16" s="1"/>
  <c r="G247" i="16"/>
  <c r="M247" i="16" s="1"/>
  <c r="F247" i="16"/>
  <c r="L247" i="16" s="1"/>
  <c r="E247" i="16"/>
  <c r="K247" i="16" s="1"/>
  <c r="M243" i="16"/>
  <c r="G243" i="16"/>
  <c r="F243" i="16"/>
  <c r="L243" i="16" s="1"/>
  <c r="E243" i="16"/>
  <c r="K243" i="16" s="1"/>
  <c r="M239" i="16"/>
  <c r="L239" i="16"/>
  <c r="K239" i="16"/>
  <c r="G239" i="16"/>
  <c r="F239" i="16"/>
  <c r="E239" i="16"/>
  <c r="G235" i="16"/>
  <c r="M235" i="16" s="1"/>
  <c r="F235" i="16"/>
  <c r="L235" i="16" s="1"/>
  <c r="E235" i="16"/>
  <c r="K235" i="16" s="1"/>
  <c r="L231" i="16"/>
  <c r="K231" i="16"/>
  <c r="G231" i="16"/>
  <c r="M231" i="16" s="1"/>
  <c r="F231" i="16"/>
  <c r="E231" i="16"/>
  <c r="G227" i="16"/>
  <c r="M227" i="16" s="1"/>
  <c r="F227" i="16"/>
  <c r="L227" i="16" s="1"/>
  <c r="E227" i="16"/>
  <c r="K227" i="16" s="1"/>
  <c r="M223" i="16"/>
  <c r="L223" i="16"/>
  <c r="K223" i="16"/>
  <c r="G223" i="16"/>
  <c r="F223" i="16"/>
  <c r="E223" i="16"/>
  <c r="K219" i="16"/>
  <c r="G219" i="16"/>
  <c r="M219" i="16" s="1"/>
  <c r="F219" i="16"/>
  <c r="L219" i="16" s="1"/>
  <c r="E219" i="16"/>
  <c r="G215" i="16"/>
  <c r="M215" i="16" s="1"/>
  <c r="F215" i="16"/>
  <c r="L215" i="16" s="1"/>
  <c r="E215" i="16"/>
  <c r="K215" i="16" s="1"/>
  <c r="G211" i="16"/>
  <c r="M211" i="16" s="1"/>
  <c r="F211" i="16"/>
  <c r="L211" i="16" s="1"/>
  <c r="E211" i="16"/>
  <c r="K211" i="16" s="1"/>
  <c r="G207" i="16"/>
  <c r="M207" i="16" s="1"/>
  <c r="F207" i="16"/>
  <c r="L207" i="16" s="1"/>
  <c r="E207" i="16"/>
  <c r="K207" i="16" s="1"/>
  <c r="K203" i="16"/>
  <c r="G203" i="16"/>
  <c r="M203" i="16" s="1"/>
  <c r="F203" i="16"/>
  <c r="L203" i="16" s="1"/>
  <c r="E203" i="16"/>
  <c r="G199" i="16"/>
  <c r="M199" i="16" s="1"/>
  <c r="F199" i="16"/>
  <c r="L199" i="16" s="1"/>
  <c r="E199" i="16"/>
  <c r="K199" i="16" s="1"/>
  <c r="M195" i="16"/>
  <c r="G195" i="16"/>
  <c r="F195" i="16"/>
  <c r="L195" i="16" s="1"/>
  <c r="E195" i="16"/>
  <c r="K195" i="16" s="1"/>
  <c r="G191" i="16"/>
  <c r="M191" i="16" s="1"/>
  <c r="F191" i="16"/>
  <c r="L191" i="16" s="1"/>
  <c r="E191" i="16"/>
  <c r="K191" i="16" s="1"/>
  <c r="M187" i="16"/>
  <c r="L187" i="16"/>
  <c r="G187" i="16"/>
  <c r="F187" i="16"/>
  <c r="E187" i="16"/>
  <c r="K187" i="16" s="1"/>
  <c r="G183" i="16"/>
  <c r="M183" i="16" s="1"/>
  <c r="F183" i="16"/>
  <c r="L183" i="16" s="1"/>
  <c r="E183" i="16"/>
  <c r="K183" i="16" s="1"/>
  <c r="M179" i="16"/>
  <c r="G179" i="16"/>
  <c r="F179" i="16"/>
  <c r="L179" i="16" s="1"/>
  <c r="E179" i="16"/>
  <c r="K179" i="16" s="1"/>
  <c r="M175" i="16"/>
  <c r="L175" i="16"/>
  <c r="K175" i="16"/>
  <c r="G175" i="16"/>
  <c r="F175" i="16"/>
  <c r="E175" i="16"/>
  <c r="G171" i="16"/>
  <c r="M171" i="16" s="1"/>
  <c r="F171" i="16"/>
  <c r="L171" i="16" s="1"/>
  <c r="E171" i="16"/>
  <c r="K171" i="16" s="1"/>
  <c r="L167" i="16"/>
  <c r="K167" i="16"/>
  <c r="G167" i="16"/>
  <c r="M167" i="16" s="1"/>
  <c r="F167" i="16"/>
  <c r="E167" i="16"/>
  <c r="G163" i="16"/>
  <c r="M163" i="16" s="1"/>
  <c r="F163" i="16"/>
  <c r="L163" i="16" s="1"/>
  <c r="E163" i="16"/>
  <c r="K163" i="16" s="1"/>
  <c r="M159" i="16"/>
  <c r="L159" i="16"/>
  <c r="K159" i="16"/>
  <c r="G159" i="16"/>
  <c r="F159" i="16"/>
  <c r="E159" i="16"/>
  <c r="K155" i="16"/>
  <c r="G155" i="16"/>
  <c r="M155" i="16" s="1"/>
  <c r="F155" i="16"/>
  <c r="L155" i="16" s="1"/>
  <c r="E155" i="16"/>
  <c r="G151" i="16"/>
  <c r="M151" i="16" s="1"/>
  <c r="F151" i="16"/>
  <c r="L151" i="16" s="1"/>
  <c r="E151" i="16"/>
  <c r="K151" i="16" s="1"/>
  <c r="G147" i="16"/>
  <c r="M147" i="16" s="1"/>
  <c r="F147" i="16"/>
  <c r="L147" i="16" s="1"/>
  <c r="E147" i="16"/>
  <c r="K147" i="16" s="1"/>
  <c r="G143" i="16"/>
  <c r="M143" i="16" s="1"/>
  <c r="F143" i="16"/>
  <c r="L143" i="16" s="1"/>
  <c r="E143" i="16"/>
  <c r="K143" i="16" s="1"/>
  <c r="K139" i="16"/>
  <c r="G139" i="16"/>
  <c r="M139" i="16" s="1"/>
  <c r="F139" i="16"/>
  <c r="L139" i="16" s="1"/>
  <c r="E139" i="16"/>
  <c r="G135" i="16"/>
  <c r="M135" i="16" s="1"/>
  <c r="F135" i="16"/>
  <c r="L135" i="16" s="1"/>
  <c r="E135" i="16"/>
  <c r="K135" i="16" s="1"/>
  <c r="M131" i="16"/>
  <c r="G131" i="16"/>
  <c r="F131" i="16"/>
  <c r="L131" i="16" s="1"/>
  <c r="E131" i="16"/>
  <c r="K131" i="16" s="1"/>
  <c r="G127" i="16"/>
  <c r="M127" i="16" s="1"/>
  <c r="F127" i="16"/>
  <c r="L127" i="16" s="1"/>
  <c r="E127" i="16"/>
  <c r="K127" i="16" s="1"/>
  <c r="M123" i="16"/>
  <c r="L123" i="16"/>
  <c r="G123" i="16"/>
  <c r="F123" i="16"/>
  <c r="E123" i="16"/>
  <c r="K123" i="16" s="1"/>
  <c r="G119" i="16"/>
  <c r="M119" i="16" s="1"/>
  <c r="F119" i="16"/>
  <c r="L119" i="16" s="1"/>
  <c r="E119" i="16"/>
  <c r="K119" i="16" s="1"/>
  <c r="M115" i="16"/>
  <c r="G115" i="16"/>
  <c r="F115" i="16"/>
  <c r="L115" i="16" s="1"/>
  <c r="E115" i="16"/>
  <c r="K115" i="16" s="1"/>
  <c r="M111" i="16"/>
  <c r="L111" i="16"/>
  <c r="K111" i="16"/>
  <c r="G111" i="16"/>
  <c r="F111" i="16"/>
  <c r="E111" i="16"/>
  <c r="G107" i="16"/>
  <c r="M107" i="16" s="1"/>
  <c r="F107" i="16"/>
  <c r="L107" i="16" s="1"/>
  <c r="E107" i="16"/>
  <c r="K107" i="16" s="1"/>
  <c r="L103" i="16"/>
  <c r="K103" i="16"/>
  <c r="G103" i="16"/>
  <c r="M103" i="16" s="1"/>
  <c r="F103" i="16"/>
  <c r="E103" i="16"/>
  <c r="G99" i="16"/>
  <c r="M99" i="16" s="1"/>
  <c r="F99" i="16"/>
  <c r="L99" i="16" s="1"/>
  <c r="E99" i="16"/>
  <c r="K99" i="16" s="1"/>
  <c r="M95" i="16"/>
  <c r="L95" i="16"/>
  <c r="K95" i="16"/>
  <c r="G95" i="16"/>
  <c r="F95" i="16"/>
  <c r="E95" i="16"/>
  <c r="K91" i="16"/>
  <c r="G91" i="16"/>
  <c r="M91" i="16" s="1"/>
  <c r="F91" i="16"/>
  <c r="L91" i="16" s="1"/>
  <c r="E91" i="16"/>
  <c r="G87" i="16"/>
  <c r="M87" i="16" s="1"/>
  <c r="F87" i="16"/>
  <c r="L87" i="16" s="1"/>
  <c r="E87" i="16"/>
  <c r="K87" i="16" s="1"/>
  <c r="G83" i="16"/>
  <c r="M83" i="16" s="1"/>
  <c r="F83" i="16"/>
  <c r="L83" i="16" s="1"/>
  <c r="E83" i="16"/>
  <c r="K83" i="16" s="1"/>
  <c r="G79" i="16"/>
  <c r="M79" i="16" s="1"/>
  <c r="F79" i="16"/>
  <c r="L79" i="16" s="1"/>
  <c r="E79" i="16"/>
  <c r="K79" i="16" s="1"/>
  <c r="K75" i="16"/>
  <c r="G75" i="16"/>
  <c r="M75" i="16" s="1"/>
  <c r="F75" i="16"/>
  <c r="L75" i="16" s="1"/>
  <c r="E75" i="16"/>
  <c r="G71" i="16"/>
  <c r="M71" i="16" s="1"/>
  <c r="F71" i="16"/>
  <c r="L71" i="16" s="1"/>
  <c r="E71" i="16"/>
  <c r="K71" i="16" s="1"/>
  <c r="M67" i="16"/>
  <c r="G67" i="16"/>
  <c r="F67" i="16"/>
  <c r="L67" i="16" s="1"/>
  <c r="E67" i="16"/>
  <c r="K67" i="16" s="1"/>
  <c r="G63" i="16"/>
  <c r="M63" i="16" s="1"/>
  <c r="F63" i="16"/>
  <c r="L63" i="16" s="1"/>
  <c r="E63" i="16"/>
  <c r="K63" i="16" s="1"/>
  <c r="M59" i="16"/>
  <c r="L59" i="16"/>
  <c r="G59" i="16"/>
  <c r="F59" i="16"/>
  <c r="E59" i="16"/>
  <c r="K59" i="16" s="1"/>
  <c r="G55" i="16"/>
  <c r="M55" i="16" s="1"/>
  <c r="F55" i="16"/>
  <c r="L55" i="16" s="1"/>
  <c r="E55" i="16"/>
  <c r="K55" i="16" s="1"/>
  <c r="M51" i="16"/>
  <c r="G51" i="16"/>
  <c r="F51" i="16"/>
  <c r="L51" i="16" s="1"/>
  <c r="E51" i="16"/>
  <c r="K51" i="16" s="1"/>
  <c r="M47" i="16"/>
  <c r="L47" i="16"/>
  <c r="K47" i="16"/>
  <c r="G47" i="16"/>
  <c r="F47" i="16"/>
  <c r="E47" i="16"/>
  <c r="G43" i="16"/>
  <c r="M43" i="16" s="1"/>
  <c r="F43" i="16"/>
  <c r="L43" i="16" s="1"/>
  <c r="E43" i="16"/>
  <c r="K43" i="16" s="1"/>
  <c r="L39" i="16"/>
  <c r="K39" i="16"/>
  <c r="G39" i="16"/>
  <c r="M39" i="16" s="1"/>
  <c r="F39" i="16"/>
  <c r="E39" i="16"/>
  <c r="G35" i="16"/>
  <c r="M35" i="16" s="1"/>
  <c r="F35" i="16"/>
  <c r="L35" i="16" s="1"/>
  <c r="E35" i="16"/>
  <c r="K35" i="16" s="1"/>
  <c r="M31" i="16"/>
  <c r="L31" i="16"/>
  <c r="K31" i="16"/>
  <c r="G31" i="16"/>
  <c r="F31" i="16"/>
  <c r="E31" i="16"/>
  <c r="K27" i="16"/>
  <c r="G27" i="16"/>
  <c r="M27" i="16" s="1"/>
  <c r="F27" i="16"/>
  <c r="L27" i="16" s="1"/>
  <c r="E27" i="16"/>
  <c r="G23" i="16"/>
  <c r="M23" i="16" s="1"/>
  <c r="F23" i="16"/>
  <c r="L23" i="16" s="1"/>
  <c r="E23" i="16"/>
  <c r="K23" i="16" s="1"/>
  <c r="G19" i="16"/>
  <c r="M19" i="16" s="1"/>
  <c r="F19" i="16"/>
  <c r="L19" i="16" s="1"/>
  <c r="E19" i="16"/>
  <c r="K19" i="16" s="1"/>
  <c r="G15" i="16"/>
  <c r="M15" i="16" s="1"/>
  <c r="F15" i="16"/>
  <c r="L15" i="16" s="1"/>
  <c r="E15" i="16"/>
  <c r="K15" i="16" s="1"/>
  <c r="R14" i="16" l="1"/>
  <c r="S14" i="16"/>
  <c r="T14" i="16"/>
  <c r="U14" i="16" l="1"/>
  <c r="M114" i="12"/>
  <c r="K114" i="12"/>
  <c r="G114" i="12"/>
  <c r="F114" i="12"/>
  <c r="L114" i="12" s="1"/>
  <c r="E114" i="12"/>
  <c r="G110" i="12"/>
  <c r="M110" i="12" s="1"/>
  <c r="F110" i="12"/>
  <c r="L110" i="12" s="1"/>
  <c r="E110" i="12"/>
  <c r="K110" i="12" s="1"/>
  <c r="G106" i="12"/>
  <c r="M106" i="12" s="1"/>
  <c r="F106" i="12"/>
  <c r="L106" i="12" s="1"/>
  <c r="E106" i="12"/>
  <c r="K106" i="12" s="1"/>
  <c r="M102" i="12"/>
  <c r="G102" i="12"/>
  <c r="F102" i="12"/>
  <c r="L102" i="12" s="1"/>
  <c r="E102" i="12"/>
  <c r="K102" i="12" s="1"/>
  <c r="G98" i="12"/>
  <c r="M98" i="12" s="1"/>
  <c r="F98" i="12"/>
  <c r="L98" i="12" s="1"/>
  <c r="E98" i="12"/>
  <c r="K98" i="12" s="1"/>
  <c r="M94" i="12"/>
  <c r="L94" i="12"/>
  <c r="K94" i="12"/>
  <c r="G94" i="12"/>
  <c r="F94" i="12"/>
  <c r="E94" i="12"/>
  <c r="M90" i="12"/>
  <c r="G90" i="12"/>
  <c r="F90" i="12"/>
  <c r="L90" i="12" s="1"/>
  <c r="E90" i="12"/>
  <c r="K90" i="12" s="1"/>
  <c r="M86" i="12"/>
  <c r="L86" i="12"/>
  <c r="G86" i="12"/>
  <c r="F86" i="12"/>
  <c r="E86" i="12"/>
  <c r="K86" i="12" s="1"/>
  <c r="M82" i="12"/>
  <c r="L82" i="12"/>
  <c r="K82" i="12"/>
  <c r="G82" i="12"/>
  <c r="F82" i="12"/>
  <c r="E82" i="12"/>
  <c r="G78" i="12"/>
  <c r="M78" i="12" s="1"/>
  <c r="F78" i="12"/>
  <c r="L78" i="12" s="1"/>
  <c r="E78" i="12"/>
  <c r="K78" i="12" s="1"/>
  <c r="L74" i="12"/>
  <c r="K74" i="12"/>
  <c r="G74" i="12"/>
  <c r="M74" i="12" s="1"/>
  <c r="F74" i="12"/>
  <c r="E74" i="12"/>
  <c r="M70" i="12"/>
  <c r="L70" i="12"/>
  <c r="K70" i="12"/>
  <c r="G70" i="12"/>
  <c r="F70" i="12"/>
  <c r="E70" i="12"/>
  <c r="L66" i="12"/>
  <c r="K66" i="12"/>
  <c r="G66" i="12"/>
  <c r="M66" i="12" s="1"/>
  <c r="F66" i="12"/>
  <c r="E66" i="12"/>
  <c r="K62" i="12"/>
  <c r="G62" i="12"/>
  <c r="M62" i="12" s="1"/>
  <c r="F62" i="12"/>
  <c r="L62" i="12" s="1"/>
  <c r="E62" i="12"/>
  <c r="G58" i="12"/>
  <c r="M58" i="12" s="1"/>
  <c r="F58" i="12"/>
  <c r="L58" i="12" s="1"/>
  <c r="E58" i="12"/>
  <c r="K58" i="12" s="1"/>
  <c r="G54" i="12"/>
  <c r="M54" i="12" s="1"/>
  <c r="F54" i="12"/>
  <c r="L54" i="12" s="1"/>
  <c r="E54" i="12"/>
  <c r="K54" i="12" s="1"/>
  <c r="M50" i="12"/>
  <c r="K50" i="12"/>
  <c r="G50" i="12"/>
  <c r="F50" i="12"/>
  <c r="L50" i="12" s="1"/>
  <c r="E50" i="12"/>
  <c r="G46" i="12"/>
  <c r="M46" i="12" s="1"/>
  <c r="F46" i="12"/>
  <c r="L46" i="12" s="1"/>
  <c r="E46" i="12"/>
  <c r="K46" i="12" s="1"/>
  <c r="G42" i="12"/>
  <c r="M42" i="12" s="1"/>
  <c r="F42" i="12"/>
  <c r="L42" i="12" s="1"/>
  <c r="E42" i="12"/>
  <c r="K42" i="12" s="1"/>
  <c r="M38" i="12"/>
  <c r="G38" i="12"/>
  <c r="F38" i="12"/>
  <c r="L38" i="12" s="1"/>
  <c r="E38" i="12"/>
  <c r="K38" i="12" s="1"/>
  <c r="G34" i="12"/>
  <c r="M34" i="12" s="1"/>
  <c r="F34" i="12"/>
  <c r="L34" i="12" s="1"/>
  <c r="E34" i="12"/>
  <c r="K34" i="12" s="1"/>
  <c r="M30" i="12"/>
  <c r="L30" i="12"/>
  <c r="K30" i="12"/>
  <c r="G30" i="12"/>
  <c r="F30" i="12"/>
  <c r="E30" i="12"/>
  <c r="M26" i="12"/>
  <c r="G26" i="12"/>
  <c r="F26" i="12"/>
  <c r="L26" i="12" s="1"/>
  <c r="E26" i="12"/>
  <c r="K26" i="12" s="1"/>
  <c r="M22" i="12"/>
  <c r="L22" i="12"/>
  <c r="G22" i="12"/>
  <c r="F22" i="12"/>
  <c r="E22" i="12"/>
  <c r="K22" i="12" s="1"/>
  <c r="M18" i="12"/>
  <c r="L18" i="12"/>
  <c r="K18" i="12"/>
  <c r="G18" i="12"/>
  <c r="F18" i="12"/>
  <c r="E18" i="12"/>
  <c r="G14" i="12"/>
  <c r="M14" i="12" s="1"/>
  <c r="F14" i="12"/>
  <c r="L14" i="12" s="1"/>
  <c r="E14" i="12"/>
  <c r="K14" i="12" s="1"/>
  <c r="M10" i="12"/>
  <c r="K10" i="12"/>
  <c r="G10" i="12"/>
  <c r="F10" i="12"/>
  <c r="L10" i="12" s="1"/>
  <c r="E10" i="12"/>
  <c r="G43" i="11"/>
  <c r="L43" i="11" s="1"/>
  <c r="F43" i="11"/>
  <c r="K43" i="11" s="1"/>
  <c r="E43" i="11"/>
  <c r="J43" i="11" s="1"/>
  <c r="G40" i="11"/>
  <c r="L40" i="11" s="1"/>
  <c r="F40" i="11"/>
  <c r="K40" i="11" s="1"/>
  <c r="E40" i="11"/>
  <c r="J40" i="11" s="1"/>
  <c r="G37" i="11"/>
  <c r="L37" i="11" s="1"/>
  <c r="F37" i="11"/>
  <c r="K37" i="11" s="1"/>
  <c r="E37" i="11"/>
  <c r="J37" i="11" s="1"/>
  <c r="L32" i="11"/>
  <c r="G32" i="11"/>
  <c r="F32" i="11"/>
  <c r="K32" i="11" s="1"/>
  <c r="E32" i="11"/>
  <c r="J32" i="11" s="1"/>
  <c r="G29" i="11"/>
  <c r="L29" i="11" s="1"/>
  <c r="F29" i="11"/>
  <c r="K29" i="11" s="1"/>
  <c r="E29" i="11"/>
  <c r="J29" i="11" s="1"/>
  <c r="L26" i="11"/>
  <c r="K26" i="11"/>
  <c r="G26" i="11"/>
  <c r="F26" i="11"/>
  <c r="E26" i="11"/>
  <c r="J26" i="11" s="1"/>
  <c r="G21" i="11"/>
  <c r="L21" i="11" s="1"/>
  <c r="F21" i="11"/>
  <c r="K21" i="11" s="1"/>
  <c r="E21" i="11"/>
  <c r="J21" i="11" s="1"/>
  <c r="L18" i="11"/>
  <c r="K18" i="11"/>
  <c r="G18" i="11"/>
  <c r="F18" i="11"/>
  <c r="E18" i="11"/>
  <c r="J18" i="11" s="1"/>
  <c r="L15" i="11"/>
  <c r="K15" i="11"/>
  <c r="J15" i="11"/>
  <c r="G15" i="11"/>
  <c r="F15" i="11"/>
  <c r="E15" i="11"/>
  <c r="B41" i="10"/>
  <c r="B28" i="10"/>
  <c r="B18" i="10"/>
  <c r="E44" i="10"/>
  <c r="C44" i="10"/>
  <c r="C40" i="10"/>
  <c r="E40" i="10" s="1"/>
  <c r="C37" i="10"/>
  <c r="E37" i="10" s="1"/>
  <c r="C31" i="10"/>
  <c r="E31" i="10" s="1"/>
  <c r="C27" i="10"/>
  <c r="C24" i="10"/>
  <c r="C20" i="10"/>
  <c r="E20" i="10" s="1"/>
  <c r="E13" i="10"/>
  <c r="E17" i="10"/>
  <c r="C17" i="10"/>
  <c r="C14" i="10"/>
  <c r="D228" i="4"/>
  <c r="M227" i="4" s="1"/>
  <c r="G335" i="9"/>
  <c r="M335" i="9" s="1"/>
  <c r="F335" i="9"/>
  <c r="L335" i="9" s="1"/>
  <c r="E335" i="9"/>
  <c r="K335" i="9" s="1"/>
  <c r="G331" i="9"/>
  <c r="M331" i="9" s="1"/>
  <c r="F331" i="9"/>
  <c r="L331" i="9" s="1"/>
  <c r="E331" i="9"/>
  <c r="K331" i="9" s="1"/>
  <c r="G327" i="9"/>
  <c r="M327" i="9" s="1"/>
  <c r="F327" i="9"/>
  <c r="L327" i="9" s="1"/>
  <c r="E327" i="9"/>
  <c r="K327" i="9" s="1"/>
  <c r="G323" i="9"/>
  <c r="M323" i="9" s="1"/>
  <c r="F323" i="9"/>
  <c r="L323" i="9" s="1"/>
  <c r="E323" i="9"/>
  <c r="K323" i="9" s="1"/>
  <c r="G319" i="9"/>
  <c r="M319" i="9" s="1"/>
  <c r="F319" i="9"/>
  <c r="L319" i="9" s="1"/>
  <c r="E319" i="9"/>
  <c r="K319" i="9" s="1"/>
  <c r="G315" i="9"/>
  <c r="M315" i="9" s="1"/>
  <c r="F315" i="9"/>
  <c r="L315" i="9" s="1"/>
  <c r="E315" i="9"/>
  <c r="K315" i="9" s="1"/>
  <c r="G311" i="9"/>
  <c r="M311" i="9" s="1"/>
  <c r="F311" i="9"/>
  <c r="E311" i="9"/>
  <c r="G307" i="9"/>
  <c r="M307" i="9" s="1"/>
  <c r="F307" i="9"/>
  <c r="L307" i="9" s="1"/>
  <c r="E307" i="9"/>
  <c r="G303" i="9"/>
  <c r="M303" i="9" s="1"/>
  <c r="F303" i="9"/>
  <c r="L303" i="9" s="1"/>
  <c r="E303" i="9"/>
  <c r="K303" i="9" s="1"/>
  <c r="G299" i="9"/>
  <c r="M299" i="9" s="1"/>
  <c r="F299" i="9"/>
  <c r="E299" i="9"/>
  <c r="G295" i="9"/>
  <c r="M295" i="9" s="1"/>
  <c r="F295" i="9"/>
  <c r="E295" i="9"/>
  <c r="G291" i="9"/>
  <c r="M291" i="9" s="1"/>
  <c r="F291" i="9"/>
  <c r="L291" i="9" s="1"/>
  <c r="E291" i="9"/>
  <c r="K291" i="9" s="1"/>
  <c r="G287" i="9"/>
  <c r="M287" i="9" s="1"/>
  <c r="F287" i="9"/>
  <c r="L287" i="9" s="1"/>
  <c r="E287" i="9"/>
  <c r="K287" i="9" s="1"/>
  <c r="G283" i="9"/>
  <c r="M283" i="9" s="1"/>
  <c r="F283" i="9"/>
  <c r="L283" i="9" s="1"/>
  <c r="E283" i="9"/>
  <c r="K283" i="9" s="1"/>
  <c r="G279" i="9"/>
  <c r="M279" i="9" s="1"/>
  <c r="F279" i="9"/>
  <c r="L279" i="9" s="1"/>
  <c r="E279" i="9"/>
  <c r="K279" i="9" s="1"/>
  <c r="G275" i="9"/>
  <c r="M275" i="9" s="1"/>
  <c r="F275" i="9"/>
  <c r="L275" i="9" s="1"/>
  <c r="E275" i="9"/>
  <c r="G271" i="9"/>
  <c r="M271" i="9" s="1"/>
  <c r="F271" i="9"/>
  <c r="L271" i="9" s="1"/>
  <c r="E271" i="9"/>
  <c r="K271" i="9" s="1"/>
  <c r="G267" i="9"/>
  <c r="M267" i="9" s="1"/>
  <c r="F267" i="9"/>
  <c r="L267" i="9" s="1"/>
  <c r="E267" i="9"/>
  <c r="K267" i="9" s="1"/>
  <c r="G263" i="9"/>
  <c r="M263" i="9" s="1"/>
  <c r="F263" i="9"/>
  <c r="L263" i="9" s="1"/>
  <c r="E263" i="9"/>
  <c r="G259" i="9"/>
  <c r="M259" i="9" s="1"/>
  <c r="F259" i="9"/>
  <c r="L259" i="9" s="1"/>
  <c r="E259" i="9"/>
  <c r="K259" i="9" s="1"/>
  <c r="G255" i="9"/>
  <c r="M255" i="9" s="1"/>
  <c r="F255" i="9"/>
  <c r="L255" i="9" s="1"/>
  <c r="E255" i="9"/>
  <c r="K255" i="9" s="1"/>
  <c r="G251" i="9"/>
  <c r="M251" i="9" s="1"/>
  <c r="F251" i="9"/>
  <c r="L251" i="9" s="1"/>
  <c r="E251" i="9"/>
  <c r="K251" i="9" s="1"/>
  <c r="G247" i="9"/>
  <c r="M247" i="9" s="1"/>
  <c r="F247" i="9"/>
  <c r="L247" i="9" s="1"/>
  <c r="E247" i="9"/>
  <c r="K247" i="9" s="1"/>
  <c r="G243" i="9"/>
  <c r="M243" i="9" s="1"/>
  <c r="F243" i="9"/>
  <c r="L243" i="9" s="1"/>
  <c r="E243" i="9"/>
  <c r="K243" i="9" s="1"/>
  <c r="G239" i="9"/>
  <c r="M239" i="9" s="1"/>
  <c r="F239" i="9"/>
  <c r="L239" i="9" s="1"/>
  <c r="E239" i="9"/>
  <c r="K239" i="9" s="1"/>
  <c r="K235" i="9"/>
  <c r="G235" i="9"/>
  <c r="M235" i="9" s="1"/>
  <c r="F235" i="9"/>
  <c r="L235" i="9" s="1"/>
  <c r="E235" i="9"/>
  <c r="G231" i="9"/>
  <c r="M231" i="9" s="1"/>
  <c r="F231" i="9"/>
  <c r="L231" i="9" s="1"/>
  <c r="E231" i="9"/>
  <c r="K231" i="9" s="1"/>
  <c r="G227" i="9"/>
  <c r="M227" i="9" s="1"/>
  <c r="F227" i="9"/>
  <c r="L227" i="9" s="1"/>
  <c r="E227" i="9"/>
  <c r="K227" i="9" s="1"/>
  <c r="G223" i="9"/>
  <c r="M223" i="9" s="1"/>
  <c r="F223" i="9"/>
  <c r="L223" i="9" s="1"/>
  <c r="E223" i="9"/>
  <c r="K223" i="9" s="1"/>
  <c r="G219" i="9"/>
  <c r="M219" i="9" s="1"/>
  <c r="F219" i="9"/>
  <c r="L219" i="9" s="1"/>
  <c r="E219" i="9"/>
  <c r="K219" i="9" s="1"/>
  <c r="G215" i="9"/>
  <c r="M215" i="9" s="1"/>
  <c r="F215" i="9"/>
  <c r="E215" i="9"/>
  <c r="G211" i="9"/>
  <c r="M211" i="9" s="1"/>
  <c r="F211" i="9"/>
  <c r="L211" i="9" s="1"/>
  <c r="E211" i="9"/>
  <c r="K211" i="9" s="1"/>
  <c r="G207" i="9"/>
  <c r="M207" i="9" s="1"/>
  <c r="F207" i="9"/>
  <c r="L207" i="9" s="1"/>
  <c r="E207" i="9"/>
  <c r="K207" i="9" s="1"/>
  <c r="G203" i="9"/>
  <c r="M203" i="9" s="1"/>
  <c r="F203" i="9"/>
  <c r="L203" i="9" s="1"/>
  <c r="E203" i="9"/>
  <c r="K203" i="9" s="1"/>
  <c r="G199" i="9"/>
  <c r="M199" i="9" s="1"/>
  <c r="F199" i="9"/>
  <c r="L199" i="9" s="1"/>
  <c r="E199" i="9"/>
  <c r="K199" i="9" s="1"/>
  <c r="G195" i="9"/>
  <c r="M195" i="9" s="1"/>
  <c r="F195" i="9"/>
  <c r="L195" i="9" s="1"/>
  <c r="E195" i="9"/>
  <c r="K195" i="9" s="1"/>
  <c r="G191" i="9"/>
  <c r="M191" i="9" s="1"/>
  <c r="F191" i="9"/>
  <c r="L191" i="9" s="1"/>
  <c r="E191" i="9"/>
  <c r="K191" i="9" s="1"/>
  <c r="G187" i="9"/>
  <c r="M187" i="9" s="1"/>
  <c r="F187" i="9"/>
  <c r="L187" i="9" s="1"/>
  <c r="E187" i="9"/>
  <c r="K187" i="9" s="1"/>
  <c r="G183" i="9"/>
  <c r="M183" i="9" s="1"/>
  <c r="F183" i="9"/>
  <c r="E183" i="9"/>
  <c r="G179" i="9"/>
  <c r="M179" i="9" s="1"/>
  <c r="F179" i="9"/>
  <c r="L179" i="9" s="1"/>
  <c r="E179" i="9"/>
  <c r="G175" i="9"/>
  <c r="M175" i="9" s="1"/>
  <c r="F175" i="9"/>
  <c r="L175" i="9" s="1"/>
  <c r="E175" i="9"/>
  <c r="K175" i="9" s="1"/>
  <c r="G171" i="9"/>
  <c r="M171" i="9" s="1"/>
  <c r="F171" i="9"/>
  <c r="E171" i="9"/>
  <c r="G167" i="9"/>
  <c r="M167" i="9" s="1"/>
  <c r="F167" i="9"/>
  <c r="E167" i="9"/>
  <c r="K167" i="9" s="1"/>
  <c r="G163" i="9"/>
  <c r="M163" i="9" s="1"/>
  <c r="F163" i="9"/>
  <c r="L163" i="9" s="1"/>
  <c r="E163" i="9"/>
  <c r="K163" i="9" s="1"/>
  <c r="G159" i="9"/>
  <c r="M159" i="9" s="1"/>
  <c r="F159" i="9"/>
  <c r="L159" i="9" s="1"/>
  <c r="E159" i="9"/>
  <c r="K159" i="9" s="1"/>
  <c r="G155" i="9"/>
  <c r="M155" i="9" s="1"/>
  <c r="F155" i="9"/>
  <c r="L155" i="9" s="1"/>
  <c r="E155" i="9"/>
  <c r="K155" i="9" s="1"/>
  <c r="G151" i="9"/>
  <c r="M151" i="9" s="1"/>
  <c r="F151" i="9"/>
  <c r="L151" i="9" s="1"/>
  <c r="E151" i="9"/>
  <c r="K151" i="9" s="1"/>
  <c r="G147" i="9"/>
  <c r="M147" i="9" s="1"/>
  <c r="F147" i="9"/>
  <c r="L147" i="9" s="1"/>
  <c r="E147" i="9"/>
  <c r="G143" i="9"/>
  <c r="M143" i="9" s="1"/>
  <c r="F143" i="9"/>
  <c r="L143" i="9" s="1"/>
  <c r="E143" i="9"/>
  <c r="K143" i="9" s="1"/>
  <c r="G139" i="9"/>
  <c r="M139" i="9" s="1"/>
  <c r="F139" i="9"/>
  <c r="L139" i="9" s="1"/>
  <c r="E139" i="9"/>
  <c r="K139" i="9" s="1"/>
  <c r="G135" i="9"/>
  <c r="M135" i="9" s="1"/>
  <c r="F135" i="9"/>
  <c r="L135" i="9" s="1"/>
  <c r="E135" i="9"/>
  <c r="G131" i="9"/>
  <c r="M131" i="9" s="1"/>
  <c r="F131" i="9"/>
  <c r="L131" i="9" s="1"/>
  <c r="E131" i="9"/>
  <c r="K131" i="9" s="1"/>
  <c r="G127" i="9"/>
  <c r="M127" i="9" s="1"/>
  <c r="F127" i="9"/>
  <c r="L127" i="9" s="1"/>
  <c r="E127" i="9"/>
  <c r="K127" i="9" s="1"/>
  <c r="G123" i="9"/>
  <c r="M123" i="9" s="1"/>
  <c r="F123" i="9"/>
  <c r="L123" i="9" s="1"/>
  <c r="E123" i="9"/>
  <c r="K123" i="9" s="1"/>
  <c r="G119" i="9"/>
  <c r="M119" i="9" s="1"/>
  <c r="F119" i="9"/>
  <c r="L119" i="9" s="1"/>
  <c r="E119" i="9"/>
  <c r="K119" i="9" s="1"/>
  <c r="G115" i="9"/>
  <c r="M115" i="9" s="1"/>
  <c r="F115" i="9"/>
  <c r="L115" i="9" s="1"/>
  <c r="E115" i="9"/>
  <c r="K115" i="9" s="1"/>
  <c r="K111" i="9"/>
  <c r="G111" i="9"/>
  <c r="M111" i="9" s="1"/>
  <c r="F111" i="9"/>
  <c r="L111" i="9" s="1"/>
  <c r="E111" i="9"/>
  <c r="G107" i="9"/>
  <c r="M107" i="9" s="1"/>
  <c r="F107" i="9"/>
  <c r="L107" i="9" s="1"/>
  <c r="E107" i="9"/>
  <c r="K107" i="9" s="1"/>
  <c r="G103" i="9"/>
  <c r="M103" i="9" s="1"/>
  <c r="F103" i="9"/>
  <c r="L103" i="9" s="1"/>
  <c r="E103" i="9"/>
  <c r="K103" i="9" s="1"/>
  <c r="G99" i="9"/>
  <c r="M99" i="9" s="1"/>
  <c r="F99" i="9"/>
  <c r="L99" i="9" s="1"/>
  <c r="E99" i="9"/>
  <c r="K99" i="9" s="1"/>
  <c r="G95" i="9"/>
  <c r="M95" i="9" s="1"/>
  <c r="F95" i="9"/>
  <c r="L95" i="9" s="1"/>
  <c r="E95" i="9"/>
  <c r="K95" i="9" s="1"/>
  <c r="G91" i="9"/>
  <c r="M91" i="9" s="1"/>
  <c r="F91" i="9"/>
  <c r="L91" i="9" s="1"/>
  <c r="E91" i="9"/>
  <c r="K91" i="9" s="1"/>
  <c r="G87" i="9"/>
  <c r="M87" i="9" s="1"/>
  <c r="F87" i="9"/>
  <c r="E87" i="9"/>
  <c r="G83" i="9"/>
  <c r="F83" i="9"/>
  <c r="L83" i="9" s="1"/>
  <c r="E83" i="9"/>
  <c r="K83" i="9" s="1"/>
  <c r="G79" i="9"/>
  <c r="M79" i="9" s="1"/>
  <c r="F79" i="9"/>
  <c r="L79" i="9" s="1"/>
  <c r="E79" i="9"/>
  <c r="K79" i="9" s="1"/>
  <c r="G75" i="9"/>
  <c r="M75" i="9" s="1"/>
  <c r="F75" i="9"/>
  <c r="L75" i="9" s="1"/>
  <c r="E75" i="9"/>
  <c r="K75" i="9" s="1"/>
  <c r="G71" i="9"/>
  <c r="M71" i="9" s="1"/>
  <c r="F71" i="9"/>
  <c r="L71" i="9" s="1"/>
  <c r="E71" i="9"/>
  <c r="K71" i="9" s="1"/>
  <c r="G67" i="9"/>
  <c r="M67" i="9" s="1"/>
  <c r="F67" i="9"/>
  <c r="L67" i="9" s="1"/>
  <c r="E67" i="9"/>
  <c r="K67" i="9" s="1"/>
  <c r="G63" i="9"/>
  <c r="M63" i="9" s="1"/>
  <c r="F63" i="9"/>
  <c r="L63" i="9" s="1"/>
  <c r="E63" i="9"/>
  <c r="K63" i="9" s="1"/>
  <c r="G59" i="9"/>
  <c r="M59" i="9" s="1"/>
  <c r="F59" i="9"/>
  <c r="L59" i="9" s="1"/>
  <c r="E59" i="9"/>
  <c r="K59" i="9" s="1"/>
  <c r="G55" i="9"/>
  <c r="M55" i="9" s="1"/>
  <c r="F55" i="9"/>
  <c r="L55" i="9" s="1"/>
  <c r="E55" i="9"/>
  <c r="K55" i="9" s="1"/>
  <c r="G51" i="9"/>
  <c r="M51" i="9" s="1"/>
  <c r="F51" i="9"/>
  <c r="L51" i="9" s="1"/>
  <c r="E51" i="9"/>
  <c r="K51" i="9" s="1"/>
  <c r="G47" i="9"/>
  <c r="M47" i="9" s="1"/>
  <c r="F47" i="9"/>
  <c r="L47" i="9" s="1"/>
  <c r="E47" i="9"/>
  <c r="K47" i="9" s="1"/>
  <c r="G43" i="9"/>
  <c r="M43" i="9" s="1"/>
  <c r="F43" i="9"/>
  <c r="L43" i="9" s="1"/>
  <c r="E43" i="9"/>
  <c r="K43" i="9" s="1"/>
  <c r="G39" i="9"/>
  <c r="M39" i="9" s="1"/>
  <c r="F39" i="9"/>
  <c r="L39" i="9" s="1"/>
  <c r="E39" i="9"/>
  <c r="K39" i="9" s="1"/>
  <c r="G35" i="9"/>
  <c r="M35" i="9" s="1"/>
  <c r="F35" i="9"/>
  <c r="L35" i="9" s="1"/>
  <c r="E35" i="9"/>
  <c r="K35" i="9" s="1"/>
  <c r="G31" i="9"/>
  <c r="M31" i="9" s="1"/>
  <c r="F31" i="9"/>
  <c r="L31" i="9" s="1"/>
  <c r="E31" i="9"/>
  <c r="K31" i="9" s="1"/>
  <c r="G27" i="9"/>
  <c r="M27" i="9" s="1"/>
  <c r="F27" i="9"/>
  <c r="L27" i="9" s="1"/>
  <c r="E27" i="9"/>
  <c r="K27" i="9" s="1"/>
  <c r="G23" i="9"/>
  <c r="M23" i="9" s="1"/>
  <c r="F23" i="9"/>
  <c r="L23" i="9" s="1"/>
  <c r="E23" i="9"/>
  <c r="K23" i="9" s="1"/>
  <c r="G19" i="9"/>
  <c r="M19" i="9" s="1"/>
  <c r="F19" i="9"/>
  <c r="L19" i="9" s="1"/>
  <c r="E19" i="9"/>
  <c r="K19" i="9" s="1"/>
  <c r="G15" i="9"/>
  <c r="M15" i="9" s="1"/>
  <c r="F15" i="9"/>
  <c r="L15" i="9" s="1"/>
  <c r="E15" i="9"/>
  <c r="K15" i="9" s="1"/>
  <c r="G114" i="8"/>
  <c r="M114" i="8" s="1"/>
  <c r="F114" i="8"/>
  <c r="L114" i="8" s="1"/>
  <c r="E114" i="8"/>
  <c r="K114" i="8" s="1"/>
  <c r="G110" i="8"/>
  <c r="M110" i="8" s="1"/>
  <c r="F110" i="8"/>
  <c r="L110" i="8" s="1"/>
  <c r="E110" i="8"/>
  <c r="K110" i="8" s="1"/>
  <c r="G106" i="8"/>
  <c r="M106" i="8" s="1"/>
  <c r="F106" i="8"/>
  <c r="L106" i="8" s="1"/>
  <c r="E106" i="8"/>
  <c r="K106" i="8" s="1"/>
  <c r="M102" i="8"/>
  <c r="G102" i="8"/>
  <c r="F102" i="8"/>
  <c r="L102" i="8" s="1"/>
  <c r="E102" i="8"/>
  <c r="K102" i="8" s="1"/>
  <c r="G98" i="8"/>
  <c r="M98" i="8" s="1"/>
  <c r="F98" i="8"/>
  <c r="L98" i="8" s="1"/>
  <c r="E98" i="8"/>
  <c r="K98" i="8" s="1"/>
  <c r="M94" i="8"/>
  <c r="L94" i="8"/>
  <c r="G94" i="8"/>
  <c r="F94" i="8"/>
  <c r="E94" i="8"/>
  <c r="K94" i="8" s="1"/>
  <c r="G90" i="8"/>
  <c r="M90" i="8" s="1"/>
  <c r="F90" i="8"/>
  <c r="L90" i="8" s="1"/>
  <c r="E90" i="8"/>
  <c r="K90" i="8" s="1"/>
  <c r="G86" i="8"/>
  <c r="M86" i="8" s="1"/>
  <c r="F86" i="8"/>
  <c r="L86" i="8" s="1"/>
  <c r="E86" i="8"/>
  <c r="K86" i="8" s="1"/>
  <c r="M82" i="8"/>
  <c r="L82" i="8"/>
  <c r="K82" i="8"/>
  <c r="G82" i="8"/>
  <c r="F82" i="8"/>
  <c r="E82" i="8"/>
  <c r="G78" i="8"/>
  <c r="M78" i="8" s="1"/>
  <c r="F78" i="8"/>
  <c r="L78" i="8" s="1"/>
  <c r="E78" i="8"/>
  <c r="K78" i="8" s="1"/>
  <c r="L74" i="8"/>
  <c r="K74" i="8"/>
  <c r="G74" i="8"/>
  <c r="M74" i="8" s="1"/>
  <c r="F74" i="8"/>
  <c r="E74" i="8"/>
  <c r="K70" i="8"/>
  <c r="G70" i="8"/>
  <c r="M70" i="8" s="1"/>
  <c r="F70" i="8"/>
  <c r="L70" i="8" s="1"/>
  <c r="E70" i="8"/>
  <c r="G66" i="8"/>
  <c r="M66" i="8" s="1"/>
  <c r="F66" i="8"/>
  <c r="L66" i="8" s="1"/>
  <c r="E66" i="8"/>
  <c r="K66" i="8" s="1"/>
  <c r="K62" i="8"/>
  <c r="G62" i="8"/>
  <c r="M62" i="8" s="1"/>
  <c r="F62" i="8"/>
  <c r="L62" i="8" s="1"/>
  <c r="E62" i="8"/>
  <c r="G58" i="8"/>
  <c r="M58" i="8" s="1"/>
  <c r="F58" i="8"/>
  <c r="L58" i="8" s="1"/>
  <c r="E58" i="8"/>
  <c r="K58" i="8" s="1"/>
  <c r="G54" i="8"/>
  <c r="M54" i="8" s="1"/>
  <c r="F54" i="8"/>
  <c r="L54" i="8" s="1"/>
  <c r="E54" i="8"/>
  <c r="K54" i="8" s="1"/>
  <c r="G50" i="8"/>
  <c r="M50" i="8" s="1"/>
  <c r="F50" i="8"/>
  <c r="L50" i="8" s="1"/>
  <c r="E50" i="8"/>
  <c r="K50" i="8" s="1"/>
  <c r="G46" i="8"/>
  <c r="M46" i="8" s="1"/>
  <c r="F46" i="8"/>
  <c r="L46" i="8" s="1"/>
  <c r="E46" i="8"/>
  <c r="K46" i="8" s="1"/>
  <c r="G42" i="8"/>
  <c r="M42" i="8" s="1"/>
  <c r="F42" i="8"/>
  <c r="L42" i="8" s="1"/>
  <c r="E42" i="8"/>
  <c r="K42" i="8" s="1"/>
  <c r="M38" i="8"/>
  <c r="G38" i="8"/>
  <c r="F38" i="8"/>
  <c r="L38" i="8" s="1"/>
  <c r="E38" i="8"/>
  <c r="K38" i="8" s="1"/>
  <c r="G34" i="8"/>
  <c r="M34" i="8" s="1"/>
  <c r="F34" i="8"/>
  <c r="L34" i="8" s="1"/>
  <c r="E34" i="8"/>
  <c r="K34" i="8" s="1"/>
  <c r="M30" i="8"/>
  <c r="L30" i="8"/>
  <c r="K30" i="8"/>
  <c r="G30" i="8"/>
  <c r="F30" i="8"/>
  <c r="E30" i="8"/>
  <c r="G26" i="8"/>
  <c r="M26" i="8" s="1"/>
  <c r="F26" i="8"/>
  <c r="L26" i="8" s="1"/>
  <c r="E26" i="8"/>
  <c r="K26" i="8" s="1"/>
  <c r="G22" i="8"/>
  <c r="M22" i="8" s="1"/>
  <c r="F22" i="8"/>
  <c r="L22" i="8" s="1"/>
  <c r="E22" i="8"/>
  <c r="K22" i="8" s="1"/>
  <c r="M18" i="8"/>
  <c r="L18" i="8"/>
  <c r="K18" i="8"/>
  <c r="G18" i="8"/>
  <c r="F18" i="8"/>
  <c r="E18" i="8"/>
  <c r="G14" i="8"/>
  <c r="M14" i="8" s="1"/>
  <c r="F14" i="8"/>
  <c r="L14" i="8" s="1"/>
  <c r="E14" i="8"/>
  <c r="K14" i="8" s="1"/>
  <c r="M10" i="8"/>
  <c r="G10" i="8"/>
  <c r="F10" i="8"/>
  <c r="L10" i="8" s="1"/>
  <c r="E10" i="8"/>
  <c r="K10" i="8" s="1"/>
  <c r="G43" i="7"/>
  <c r="L43" i="7" s="1"/>
  <c r="F43" i="7"/>
  <c r="K43" i="7" s="1"/>
  <c r="E43" i="7"/>
  <c r="J43" i="7" s="1"/>
  <c r="G40" i="7"/>
  <c r="L40" i="7" s="1"/>
  <c r="F40" i="7"/>
  <c r="K40" i="7" s="1"/>
  <c r="E40" i="7"/>
  <c r="J40" i="7" s="1"/>
  <c r="G37" i="7"/>
  <c r="L37" i="7" s="1"/>
  <c r="F37" i="7"/>
  <c r="K37" i="7" s="1"/>
  <c r="E37" i="7"/>
  <c r="J37" i="7" s="1"/>
  <c r="G32" i="7"/>
  <c r="L32" i="7" s="1"/>
  <c r="F32" i="7"/>
  <c r="K32" i="7" s="1"/>
  <c r="E32" i="7"/>
  <c r="J32" i="7" s="1"/>
  <c r="G29" i="7"/>
  <c r="L29" i="7" s="1"/>
  <c r="F29" i="7"/>
  <c r="K29" i="7" s="1"/>
  <c r="E29" i="7"/>
  <c r="J29" i="7" s="1"/>
  <c r="G26" i="7"/>
  <c r="L26" i="7" s="1"/>
  <c r="F26" i="7"/>
  <c r="K26" i="7" s="1"/>
  <c r="E26" i="7"/>
  <c r="J26" i="7" s="1"/>
  <c r="G21" i="7"/>
  <c r="L21" i="7" s="1"/>
  <c r="F21" i="7"/>
  <c r="K21" i="7" s="1"/>
  <c r="E21" i="7"/>
  <c r="J21" i="7" s="1"/>
  <c r="G18" i="7"/>
  <c r="L18" i="7" s="1"/>
  <c r="F18" i="7"/>
  <c r="K18" i="7" s="1"/>
  <c r="E18" i="7"/>
  <c r="J18" i="7" s="1"/>
  <c r="G15" i="7"/>
  <c r="L15" i="7" s="1"/>
  <c r="F15" i="7"/>
  <c r="K15" i="7" s="1"/>
  <c r="E15" i="7"/>
  <c r="J15" i="7" s="1"/>
  <c r="B41" i="6"/>
  <c r="B28" i="6"/>
  <c r="B18" i="6"/>
  <c r="C44" i="6"/>
  <c r="E44" i="6"/>
  <c r="C40" i="6"/>
  <c r="E40" i="6" s="1"/>
  <c r="C37" i="6"/>
  <c r="E37" i="6" s="1"/>
  <c r="C31" i="6"/>
  <c r="E31" i="6" s="1"/>
  <c r="C27" i="6"/>
  <c r="E27" i="6" s="1"/>
  <c r="C24" i="6"/>
  <c r="E24" i="6" s="1"/>
  <c r="C20" i="6"/>
  <c r="E20" i="6"/>
  <c r="C17" i="6"/>
  <c r="E17" i="6" s="1"/>
  <c r="C14" i="6"/>
  <c r="E13" i="6"/>
  <c r="R7" i="2"/>
  <c r="P7" i="2"/>
  <c r="Q7" i="2"/>
  <c r="O7" i="2"/>
  <c r="S10" i="3"/>
  <c r="R10" i="3"/>
  <c r="Q10" i="3"/>
  <c r="P10" i="3"/>
  <c r="M71" i="4"/>
  <c r="L71" i="4"/>
  <c r="K71" i="4"/>
  <c r="M67" i="4"/>
  <c r="L67" i="4"/>
  <c r="K67" i="4"/>
  <c r="K63" i="4"/>
  <c r="L63" i="4"/>
  <c r="M63" i="4"/>
  <c r="M59" i="4"/>
  <c r="L59" i="4"/>
  <c r="K59" i="4"/>
  <c r="M55" i="4"/>
  <c r="L55" i="4"/>
  <c r="K55" i="4"/>
  <c r="M51" i="4"/>
  <c r="L51" i="4"/>
  <c r="K51" i="4"/>
  <c r="M47" i="4"/>
  <c r="L47" i="4"/>
  <c r="K47" i="4"/>
  <c r="M43" i="4"/>
  <c r="L43" i="4"/>
  <c r="K43" i="4"/>
  <c r="M39" i="4"/>
  <c r="L39" i="4"/>
  <c r="K39" i="4"/>
  <c r="M35" i="4"/>
  <c r="L35" i="4"/>
  <c r="K35" i="4"/>
  <c r="M31" i="4"/>
  <c r="L31" i="4"/>
  <c r="K31" i="4"/>
  <c r="M27" i="4"/>
  <c r="L27" i="4"/>
  <c r="K27" i="4"/>
  <c r="M23" i="4"/>
  <c r="L23" i="4"/>
  <c r="K23" i="4"/>
  <c r="M19" i="4"/>
  <c r="L19" i="4"/>
  <c r="K19" i="4"/>
  <c r="M15" i="4"/>
  <c r="L15" i="4"/>
  <c r="K15" i="4"/>
  <c r="G335" i="4"/>
  <c r="F335" i="4"/>
  <c r="E335" i="4"/>
  <c r="G331" i="4"/>
  <c r="F331" i="4"/>
  <c r="E331" i="4"/>
  <c r="G327" i="4"/>
  <c r="F327" i="4"/>
  <c r="E327" i="4"/>
  <c r="G323" i="4"/>
  <c r="F323" i="4"/>
  <c r="E323" i="4"/>
  <c r="G319" i="4"/>
  <c r="F319" i="4"/>
  <c r="E319" i="4"/>
  <c r="G315" i="4"/>
  <c r="F315" i="4"/>
  <c r="E315" i="4"/>
  <c r="G311" i="4"/>
  <c r="F311" i="4"/>
  <c r="E311" i="4"/>
  <c r="G307" i="4"/>
  <c r="F307" i="4"/>
  <c r="E307" i="4"/>
  <c r="G303" i="4"/>
  <c r="F303" i="4"/>
  <c r="E303" i="4"/>
  <c r="G299" i="4"/>
  <c r="F299" i="4"/>
  <c r="E299" i="4"/>
  <c r="G295" i="4"/>
  <c r="F295" i="4"/>
  <c r="E295" i="4"/>
  <c r="G291" i="4"/>
  <c r="F291" i="4"/>
  <c r="E291" i="4"/>
  <c r="G287" i="4"/>
  <c r="F287" i="4"/>
  <c r="E287" i="4"/>
  <c r="G283" i="4"/>
  <c r="F283" i="4"/>
  <c r="E283" i="4"/>
  <c r="G279" i="4"/>
  <c r="F279" i="4"/>
  <c r="E279" i="4"/>
  <c r="G275" i="4"/>
  <c r="F275" i="4"/>
  <c r="E275" i="4"/>
  <c r="G271" i="4"/>
  <c r="F271" i="4"/>
  <c r="E271" i="4"/>
  <c r="G267" i="4"/>
  <c r="F267" i="4"/>
  <c r="E267" i="4"/>
  <c r="G263" i="4"/>
  <c r="F263" i="4"/>
  <c r="E263" i="4"/>
  <c r="G259" i="4"/>
  <c r="F259" i="4"/>
  <c r="E259" i="4"/>
  <c r="G255" i="4"/>
  <c r="F255" i="4"/>
  <c r="E255" i="4"/>
  <c r="G251" i="4"/>
  <c r="F251" i="4"/>
  <c r="E251" i="4"/>
  <c r="G247" i="4"/>
  <c r="F247" i="4"/>
  <c r="E247" i="4"/>
  <c r="G243" i="4"/>
  <c r="F243" i="4"/>
  <c r="E243" i="4"/>
  <c r="G239" i="4"/>
  <c r="F239" i="4"/>
  <c r="E239" i="4"/>
  <c r="G235" i="4"/>
  <c r="F235" i="4"/>
  <c r="E235" i="4"/>
  <c r="G231" i="4"/>
  <c r="F231" i="4"/>
  <c r="E231" i="4"/>
  <c r="G227" i="4"/>
  <c r="F227" i="4"/>
  <c r="E227" i="4"/>
  <c r="G223" i="4"/>
  <c r="F223" i="4"/>
  <c r="E223" i="4"/>
  <c r="G219" i="4"/>
  <c r="F219" i="4"/>
  <c r="E219" i="4"/>
  <c r="G215" i="4"/>
  <c r="F215" i="4"/>
  <c r="E215" i="4"/>
  <c r="G211" i="4"/>
  <c r="F211" i="4"/>
  <c r="E211" i="4"/>
  <c r="G207" i="4"/>
  <c r="F207" i="4"/>
  <c r="E207" i="4"/>
  <c r="G203" i="4"/>
  <c r="F203" i="4"/>
  <c r="E203" i="4"/>
  <c r="G199" i="4"/>
  <c r="F199" i="4"/>
  <c r="E199" i="4"/>
  <c r="G195" i="4"/>
  <c r="F195" i="4"/>
  <c r="E195" i="4"/>
  <c r="G191" i="4"/>
  <c r="F191" i="4"/>
  <c r="E191" i="4"/>
  <c r="G187" i="4"/>
  <c r="F187" i="4"/>
  <c r="E187" i="4"/>
  <c r="G183" i="4"/>
  <c r="F183" i="4"/>
  <c r="E183" i="4"/>
  <c r="G179" i="4"/>
  <c r="F179" i="4"/>
  <c r="E179" i="4"/>
  <c r="G175" i="4"/>
  <c r="F175" i="4"/>
  <c r="E175" i="4"/>
  <c r="G171" i="4"/>
  <c r="F171" i="4"/>
  <c r="E171" i="4"/>
  <c r="G167" i="4"/>
  <c r="F167" i="4"/>
  <c r="E167" i="4"/>
  <c r="G163" i="4"/>
  <c r="F163" i="4"/>
  <c r="E163" i="4"/>
  <c r="G159" i="4"/>
  <c r="F159" i="4"/>
  <c r="E159" i="4"/>
  <c r="G155" i="4"/>
  <c r="F155" i="4"/>
  <c r="E155" i="4"/>
  <c r="G151" i="4"/>
  <c r="F151" i="4"/>
  <c r="E151" i="4"/>
  <c r="G147" i="4"/>
  <c r="F147" i="4"/>
  <c r="E147" i="4"/>
  <c r="G143" i="4"/>
  <c r="F143" i="4"/>
  <c r="E143" i="4"/>
  <c r="G139" i="4"/>
  <c r="F139" i="4"/>
  <c r="E139" i="4"/>
  <c r="G135" i="4"/>
  <c r="F135" i="4"/>
  <c r="E135" i="4"/>
  <c r="G131" i="4"/>
  <c r="F131" i="4"/>
  <c r="E131" i="4"/>
  <c r="G127" i="4"/>
  <c r="F127" i="4"/>
  <c r="E127" i="4"/>
  <c r="G123" i="4"/>
  <c r="F123" i="4"/>
  <c r="E123" i="4"/>
  <c r="G119" i="4"/>
  <c r="F119" i="4"/>
  <c r="E119" i="4"/>
  <c r="G115" i="4"/>
  <c r="F115" i="4"/>
  <c r="E115" i="4"/>
  <c r="G111" i="4"/>
  <c r="F111" i="4"/>
  <c r="E111" i="4"/>
  <c r="G107" i="4"/>
  <c r="F107" i="4"/>
  <c r="E107" i="4"/>
  <c r="G103" i="4"/>
  <c r="F103" i="4"/>
  <c r="E103" i="4"/>
  <c r="G99" i="4"/>
  <c r="F99" i="4"/>
  <c r="E99" i="4"/>
  <c r="G95" i="4"/>
  <c r="F95" i="4"/>
  <c r="E95" i="4"/>
  <c r="G91" i="4"/>
  <c r="F91" i="4"/>
  <c r="E91" i="4"/>
  <c r="G87" i="4"/>
  <c r="F87" i="4"/>
  <c r="E87" i="4"/>
  <c r="G83" i="4"/>
  <c r="F83" i="4"/>
  <c r="E83" i="4"/>
  <c r="G79" i="4"/>
  <c r="F79" i="4"/>
  <c r="E79" i="4"/>
  <c r="G75" i="4"/>
  <c r="F75" i="4"/>
  <c r="E75" i="4"/>
  <c r="G71" i="4"/>
  <c r="F71" i="4"/>
  <c r="E71" i="4"/>
  <c r="G67" i="4"/>
  <c r="F67" i="4"/>
  <c r="E67" i="4"/>
  <c r="G63" i="4"/>
  <c r="F63" i="4"/>
  <c r="E63" i="4"/>
  <c r="G59" i="4"/>
  <c r="F59" i="4"/>
  <c r="E59" i="4"/>
  <c r="G55" i="4"/>
  <c r="F55" i="4"/>
  <c r="E55" i="4"/>
  <c r="G51" i="4"/>
  <c r="F51" i="4"/>
  <c r="E51" i="4"/>
  <c r="G47" i="4"/>
  <c r="F47" i="4"/>
  <c r="E47" i="4"/>
  <c r="G43" i="4"/>
  <c r="F43" i="4"/>
  <c r="E43" i="4"/>
  <c r="G39" i="4"/>
  <c r="F39" i="4"/>
  <c r="E39" i="4"/>
  <c r="G35" i="4"/>
  <c r="F35" i="4"/>
  <c r="E35" i="4"/>
  <c r="G31" i="4"/>
  <c r="F31" i="4"/>
  <c r="E31" i="4"/>
  <c r="G27" i="4"/>
  <c r="F27" i="4"/>
  <c r="E27" i="4"/>
  <c r="G19" i="4"/>
  <c r="G23" i="4"/>
  <c r="F23" i="4"/>
  <c r="E23" i="4"/>
  <c r="F19" i="4"/>
  <c r="E19" i="4"/>
  <c r="G15" i="4"/>
  <c r="F15" i="4"/>
  <c r="E15" i="4"/>
  <c r="D336" i="4"/>
  <c r="L335" i="4" s="1"/>
  <c r="D332" i="4"/>
  <c r="M331" i="4" s="1"/>
  <c r="D328" i="4"/>
  <c r="M327" i="4" s="1"/>
  <c r="D324" i="4"/>
  <c r="M323" i="4" s="1"/>
  <c r="D320" i="4"/>
  <c r="K319" i="4" s="1"/>
  <c r="D316" i="4"/>
  <c r="M315" i="4" s="1"/>
  <c r="D312" i="4"/>
  <c r="L311" i="4" s="1"/>
  <c r="D308" i="4"/>
  <c r="L307" i="4" s="1"/>
  <c r="D304" i="4"/>
  <c r="M303" i="4" s="1"/>
  <c r="D300" i="4"/>
  <c r="M299" i="4" s="1"/>
  <c r="D296" i="4"/>
  <c r="K295" i="4" s="1"/>
  <c r="D292" i="4"/>
  <c r="K291" i="4" s="1"/>
  <c r="D288" i="4"/>
  <c r="K287" i="4" s="1"/>
  <c r="D284" i="4"/>
  <c r="L283" i="4" s="1"/>
  <c r="D280" i="4"/>
  <c r="M279" i="4" s="1"/>
  <c r="D276" i="4"/>
  <c r="L275" i="4" s="1"/>
  <c r="D272" i="4"/>
  <c r="M271" i="4" s="1"/>
  <c r="D268" i="4"/>
  <c r="L267" i="4" s="1"/>
  <c r="D264" i="4"/>
  <c r="K263" i="4" s="1"/>
  <c r="D260" i="4"/>
  <c r="M259" i="4" s="1"/>
  <c r="D256" i="4"/>
  <c r="M255" i="4" s="1"/>
  <c r="D252" i="4"/>
  <c r="K251" i="4" s="1"/>
  <c r="D248" i="4"/>
  <c r="M247" i="4" s="1"/>
  <c r="D244" i="4"/>
  <c r="M243" i="4" s="1"/>
  <c r="D240" i="4"/>
  <c r="M239" i="4" s="1"/>
  <c r="D236" i="4"/>
  <c r="M235" i="4" s="1"/>
  <c r="D232" i="4"/>
  <c r="M231" i="4" s="1"/>
  <c r="D224" i="4"/>
  <c r="M223" i="4" s="1"/>
  <c r="D220" i="4"/>
  <c r="M219" i="4" s="1"/>
  <c r="D216" i="4"/>
  <c r="M215" i="4" s="1"/>
  <c r="D212" i="4"/>
  <c r="K211" i="4" s="1"/>
  <c r="D208" i="4"/>
  <c r="L207" i="4" s="1"/>
  <c r="D204" i="4"/>
  <c r="M203" i="4" s="1"/>
  <c r="D200" i="4"/>
  <c r="M199" i="4" s="1"/>
  <c r="D196" i="4"/>
  <c r="K195" i="4" s="1"/>
  <c r="D192" i="4"/>
  <c r="K191" i="4" s="1"/>
  <c r="D188" i="4"/>
  <c r="M187" i="4" s="1"/>
  <c r="D184" i="4"/>
  <c r="L183" i="4" s="1"/>
  <c r="D180" i="4"/>
  <c r="L179" i="4" s="1"/>
  <c r="D176" i="4"/>
  <c r="M175" i="4" s="1"/>
  <c r="D172" i="4"/>
  <c r="K171" i="4" s="1"/>
  <c r="D168" i="4"/>
  <c r="M167" i="4" s="1"/>
  <c r="D164" i="4"/>
  <c r="M163" i="4" s="1"/>
  <c r="D160" i="4"/>
  <c r="K159" i="4" s="1"/>
  <c r="D156" i="4"/>
  <c r="M155" i="4" s="1"/>
  <c r="D152" i="4"/>
  <c r="K151" i="4" s="1"/>
  <c r="D148" i="4"/>
  <c r="L147" i="4" s="1"/>
  <c r="D144" i="4"/>
  <c r="M143" i="4" s="1"/>
  <c r="D140" i="4"/>
  <c r="L139" i="4" s="1"/>
  <c r="D136" i="4"/>
  <c r="M135" i="4" s="1"/>
  <c r="D132" i="4"/>
  <c r="K131" i="4" s="1"/>
  <c r="D128" i="4"/>
  <c r="K127" i="4" s="1"/>
  <c r="D124" i="4"/>
  <c r="M123" i="4" s="1"/>
  <c r="D120" i="4"/>
  <c r="K119" i="4" s="1"/>
  <c r="D116" i="4"/>
  <c r="M115" i="4" s="1"/>
  <c r="D112" i="4"/>
  <c r="M111" i="4" s="1"/>
  <c r="D108" i="4"/>
  <c r="M107" i="4" s="1"/>
  <c r="D104" i="4"/>
  <c r="M103" i="4" s="1"/>
  <c r="D100" i="4"/>
  <c r="M99" i="4" s="1"/>
  <c r="D96" i="4"/>
  <c r="L95" i="4" s="1"/>
  <c r="D92" i="4"/>
  <c r="M91" i="4" s="1"/>
  <c r="D88" i="4"/>
  <c r="L87" i="4" s="1"/>
  <c r="D84" i="4"/>
  <c r="M83" i="4" s="1"/>
  <c r="D80" i="4"/>
  <c r="L79" i="4" s="1"/>
  <c r="D76" i="4"/>
  <c r="M75" i="4" s="1"/>
  <c r="M114" i="3"/>
  <c r="L114" i="3"/>
  <c r="K114" i="3"/>
  <c r="M110" i="3"/>
  <c r="L110" i="3"/>
  <c r="K110" i="3"/>
  <c r="M106" i="3"/>
  <c r="L106" i="3"/>
  <c r="K106" i="3"/>
  <c r="M102" i="3"/>
  <c r="L102" i="3"/>
  <c r="K102" i="3"/>
  <c r="M98" i="3"/>
  <c r="L98" i="3"/>
  <c r="K98" i="3"/>
  <c r="M94" i="3"/>
  <c r="L94" i="3"/>
  <c r="K94" i="3"/>
  <c r="M90" i="3"/>
  <c r="L90" i="3"/>
  <c r="K90" i="3"/>
  <c r="M86" i="3"/>
  <c r="L86" i="3"/>
  <c r="K86" i="3"/>
  <c r="M82" i="3"/>
  <c r="L82" i="3"/>
  <c r="K82" i="3"/>
  <c r="M78" i="3"/>
  <c r="L78" i="3"/>
  <c r="K78" i="3"/>
  <c r="M74" i="3"/>
  <c r="L74" i="3"/>
  <c r="K74" i="3"/>
  <c r="M70" i="3"/>
  <c r="L70" i="3"/>
  <c r="K70" i="3"/>
  <c r="M66" i="3"/>
  <c r="L66" i="3"/>
  <c r="K66" i="3"/>
  <c r="M62" i="3"/>
  <c r="L62" i="3"/>
  <c r="K62" i="3"/>
  <c r="M58" i="3"/>
  <c r="L58" i="3"/>
  <c r="K58" i="3"/>
  <c r="M54" i="3"/>
  <c r="L54" i="3"/>
  <c r="K54" i="3"/>
  <c r="M50" i="3"/>
  <c r="L50" i="3"/>
  <c r="K50" i="3"/>
  <c r="M46" i="3"/>
  <c r="L46" i="3"/>
  <c r="K46" i="3"/>
  <c r="M42" i="3"/>
  <c r="L42" i="3"/>
  <c r="K42" i="3"/>
  <c r="M38" i="3"/>
  <c r="L38" i="3"/>
  <c r="K38" i="3"/>
  <c r="M34" i="3"/>
  <c r="L34" i="3"/>
  <c r="K34" i="3"/>
  <c r="M30" i="3"/>
  <c r="L30" i="3"/>
  <c r="K30" i="3"/>
  <c r="M26" i="3"/>
  <c r="L26" i="3"/>
  <c r="K26" i="3"/>
  <c r="M22" i="3"/>
  <c r="L22" i="3"/>
  <c r="K22" i="3"/>
  <c r="M18" i="3"/>
  <c r="L18" i="3"/>
  <c r="K18" i="3"/>
  <c r="M14" i="3"/>
  <c r="L14" i="3"/>
  <c r="K14" i="3"/>
  <c r="M10" i="3"/>
  <c r="L10" i="3"/>
  <c r="K10" i="3"/>
  <c r="G114" i="3"/>
  <c r="F114" i="3"/>
  <c r="E114" i="3"/>
  <c r="G110" i="3"/>
  <c r="F110" i="3"/>
  <c r="E110" i="3"/>
  <c r="G106" i="3"/>
  <c r="F106" i="3"/>
  <c r="E106" i="3"/>
  <c r="G102" i="3"/>
  <c r="F102" i="3"/>
  <c r="E102" i="3"/>
  <c r="G98" i="3"/>
  <c r="F98" i="3"/>
  <c r="E98" i="3"/>
  <c r="G94" i="3"/>
  <c r="F94" i="3"/>
  <c r="E94" i="3"/>
  <c r="G90" i="3"/>
  <c r="F90" i="3"/>
  <c r="E90" i="3"/>
  <c r="G86" i="3"/>
  <c r="F86" i="3"/>
  <c r="E86" i="3"/>
  <c r="G82" i="3"/>
  <c r="F82" i="3"/>
  <c r="E82" i="3"/>
  <c r="G78" i="3"/>
  <c r="F78" i="3"/>
  <c r="E78" i="3"/>
  <c r="G74" i="3"/>
  <c r="F74" i="3"/>
  <c r="E74" i="3"/>
  <c r="G70" i="3"/>
  <c r="F70" i="3"/>
  <c r="E70" i="3"/>
  <c r="G66" i="3"/>
  <c r="F66" i="3"/>
  <c r="E66" i="3"/>
  <c r="G62" i="3"/>
  <c r="F62" i="3"/>
  <c r="E62" i="3"/>
  <c r="G58" i="3"/>
  <c r="F58" i="3"/>
  <c r="E58" i="3"/>
  <c r="G54" i="3"/>
  <c r="F54" i="3"/>
  <c r="E54" i="3"/>
  <c r="G50" i="3"/>
  <c r="F50" i="3"/>
  <c r="E50" i="3"/>
  <c r="G46" i="3"/>
  <c r="F46" i="3"/>
  <c r="E46" i="3"/>
  <c r="G42" i="3"/>
  <c r="F42" i="3"/>
  <c r="E42" i="3"/>
  <c r="G38" i="3"/>
  <c r="F38" i="3"/>
  <c r="E38" i="3"/>
  <c r="G34" i="3"/>
  <c r="F34" i="3"/>
  <c r="E34" i="3"/>
  <c r="G30" i="3"/>
  <c r="F30" i="3"/>
  <c r="E30" i="3"/>
  <c r="G26" i="3"/>
  <c r="F26" i="3"/>
  <c r="E26" i="3"/>
  <c r="G22" i="3"/>
  <c r="F22" i="3"/>
  <c r="E22" i="3"/>
  <c r="G18" i="3"/>
  <c r="F18" i="3"/>
  <c r="E18" i="3"/>
  <c r="G14" i="3"/>
  <c r="F14" i="3"/>
  <c r="E14" i="3"/>
  <c r="G10" i="3"/>
  <c r="F10" i="3"/>
  <c r="E10" i="3"/>
  <c r="J40" i="2"/>
  <c r="K40" i="2"/>
  <c r="L40" i="2"/>
  <c r="J26" i="2"/>
  <c r="J21" i="2"/>
  <c r="J18" i="2"/>
  <c r="J15" i="2"/>
  <c r="L43" i="2"/>
  <c r="K43" i="2"/>
  <c r="J43" i="2"/>
  <c r="L37" i="2"/>
  <c r="K37" i="2"/>
  <c r="J37" i="2"/>
  <c r="L32" i="2"/>
  <c r="K32" i="2"/>
  <c r="J32" i="2"/>
  <c r="L29" i="2"/>
  <c r="K29" i="2"/>
  <c r="J29" i="2"/>
  <c r="L26" i="2"/>
  <c r="K26" i="2"/>
  <c r="L15" i="2"/>
  <c r="K15" i="2"/>
  <c r="L21" i="2"/>
  <c r="K21" i="2"/>
  <c r="L18" i="2"/>
  <c r="K18" i="2"/>
  <c r="G37" i="2"/>
  <c r="F37" i="2"/>
  <c r="E37" i="2"/>
  <c r="G40" i="2"/>
  <c r="F40" i="2"/>
  <c r="E40" i="2"/>
  <c r="G43" i="2"/>
  <c r="F43" i="2"/>
  <c r="E43" i="2"/>
  <c r="G32" i="2"/>
  <c r="F32" i="2"/>
  <c r="E32" i="2"/>
  <c r="G29" i="2"/>
  <c r="F29" i="2"/>
  <c r="E29" i="2"/>
  <c r="G21" i="2"/>
  <c r="F21" i="2"/>
  <c r="E21" i="2"/>
  <c r="G18" i="2"/>
  <c r="F18" i="2"/>
  <c r="E18" i="2"/>
  <c r="G15" i="2"/>
  <c r="F15" i="2"/>
  <c r="E15" i="2"/>
  <c r="G26" i="2"/>
  <c r="F26" i="2"/>
  <c r="E26" i="2"/>
  <c r="I24" i="1"/>
  <c r="I21" i="1"/>
  <c r="I19" i="1"/>
  <c r="I16" i="1"/>
  <c r="E44" i="1"/>
  <c r="E40" i="1"/>
  <c r="E37" i="1"/>
  <c r="E31" i="1"/>
  <c r="E27" i="1"/>
  <c r="E24" i="1"/>
  <c r="E20" i="1"/>
  <c r="E17" i="1"/>
  <c r="C44" i="1"/>
  <c r="C40" i="1"/>
  <c r="C37" i="1"/>
  <c r="C31" i="1"/>
  <c r="C27" i="1"/>
  <c r="C24" i="1"/>
  <c r="C20" i="1"/>
  <c r="C17" i="1"/>
  <c r="C14" i="1"/>
  <c r="B41" i="1"/>
  <c r="B28" i="1"/>
  <c r="B18" i="1"/>
  <c r="E13" i="1" s="1"/>
  <c r="M151" i="4" l="1"/>
  <c r="L151" i="4"/>
  <c r="K227" i="4"/>
  <c r="K95" i="4"/>
  <c r="K323" i="4"/>
  <c r="M335" i="4"/>
  <c r="L251" i="4"/>
  <c r="M251" i="4"/>
  <c r="K255" i="4"/>
  <c r="K259" i="4"/>
  <c r="M275" i="4"/>
  <c r="K279" i="4"/>
  <c r="L279" i="4"/>
  <c r="L291" i="4"/>
  <c r="M87" i="4"/>
  <c r="K91" i="4"/>
  <c r="L131" i="4"/>
  <c r="M127" i="4"/>
  <c r="M131" i="4"/>
  <c r="K135" i="4"/>
  <c r="M147" i="4"/>
  <c r="L91" i="4"/>
  <c r="K235" i="4"/>
  <c r="L259" i="4"/>
  <c r="L123" i="4"/>
  <c r="L127" i="4"/>
  <c r="M283" i="4"/>
  <c r="M211" i="4"/>
  <c r="K215" i="4"/>
  <c r="L211" i="4"/>
  <c r="L215" i="4"/>
  <c r="L323" i="4"/>
  <c r="L219" i="4"/>
  <c r="K219" i="4"/>
  <c r="K223" i="4"/>
  <c r="L223" i="4"/>
  <c r="M295" i="4"/>
  <c r="K299" i="4"/>
  <c r="L299" i="4"/>
  <c r="K303" i="4"/>
  <c r="L303" i="4"/>
  <c r="K155" i="4"/>
  <c r="L155" i="4"/>
  <c r="L319" i="4"/>
  <c r="M319" i="4"/>
  <c r="K83" i="4"/>
  <c r="L159" i="4"/>
  <c r="L83" i="4"/>
  <c r="M159" i="4"/>
  <c r="K163" i="4"/>
  <c r="K87" i="4"/>
  <c r="L163" i="4"/>
  <c r="L255" i="4"/>
  <c r="K167" i="4"/>
  <c r="L167" i="4"/>
  <c r="L171" i="4"/>
  <c r="M171" i="4"/>
  <c r="M95" i="4"/>
  <c r="L191" i="4"/>
  <c r="K283" i="4"/>
  <c r="K123" i="4"/>
  <c r="M191" i="4"/>
  <c r="L295" i="4"/>
  <c r="L195" i="4"/>
  <c r="L119" i="4"/>
  <c r="M195" i="4"/>
  <c r="L287" i="4"/>
  <c r="M291" i="4"/>
  <c r="M79" i="4"/>
  <c r="M119" i="4"/>
  <c r="K199" i="4"/>
  <c r="M287" i="4"/>
  <c r="M207" i="4"/>
  <c r="L235" i="4"/>
  <c r="K107" i="4"/>
  <c r="K239" i="4"/>
  <c r="L107" i="4"/>
  <c r="L239" i="4"/>
  <c r="K327" i="4"/>
  <c r="K111" i="4"/>
  <c r="L199" i="4"/>
  <c r="K243" i="4"/>
  <c r="L327" i="4"/>
  <c r="L111" i="4"/>
  <c r="L243" i="4"/>
  <c r="K75" i="4"/>
  <c r="K203" i="4"/>
  <c r="K331" i="4"/>
  <c r="L75" i="4"/>
  <c r="K115" i="4"/>
  <c r="L203" i="4"/>
  <c r="K247" i="4"/>
  <c r="L331" i="4"/>
  <c r="L115" i="4"/>
  <c r="L247" i="4"/>
  <c r="K79" i="4"/>
  <c r="K207" i="4"/>
  <c r="K335" i="4"/>
  <c r="L175" i="4"/>
  <c r="L99" i="4"/>
  <c r="K143" i="4"/>
  <c r="M183" i="4"/>
  <c r="L227" i="4"/>
  <c r="K271" i="4"/>
  <c r="M311" i="4"/>
  <c r="K99" i="4"/>
  <c r="L143" i="4"/>
  <c r="K187" i="4"/>
  <c r="L271" i="4"/>
  <c r="K315" i="4"/>
  <c r="L135" i="4"/>
  <c r="K179" i="4"/>
  <c r="L263" i="4"/>
  <c r="M263" i="4"/>
  <c r="M179" i="4"/>
  <c r="M307" i="4"/>
  <c r="K183" i="4"/>
  <c r="K311" i="4"/>
  <c r="M139" i="4"/>
  <c r="M267" i="4"/>
  <c r="K103" i="4"/>
  <c r="L187" i="4"/>
  <c r="K231" i="4"/>
  <c r="L315" i="4"/>
  <c r="K175" i="4"/>
  <c r="K307" i="4"/>
  <c r="K139" i="4"/>
  <c r="K267" i="4"/>
  <c r="L103" i="4"/>
  <c r="K147" i="4"/>
  <c r="L231" i="4"/>
  <c r="K275" i="4"/>
  <c r="Q7" i="11"/>
  <c r="P7" i="11"/>
  <c r="O7" i="11"/>
  <c r="Q10" i="12"/>
  <c r="P10" i="12"/>
  <c r="R10" i="12"/>
  <c r="I20" i="10"/>
  <c r="E24" i="10"/>
  <c r="I16" i="10" s="1"/>
  <c r="E27" i="10"/>
  <c r="I18" i="10"/>
  <c r="L87" i="9"/>
  <c r="K179" i="9"/>
  <c r="L215" i="9"/>
  <c r="K307" i="9"/>
  <c r="M83" i="9"/>
  <c r="T14" i="9" s="1"/>
  <c r="K87" i="9"/>
  <c r="K215" i="9"/>
  <c r="K183" i="9"/>
  <c r="K311" i="9"/>
  <c r="K147" i="9"/>
  <c r="L183" i="9"/>
  <c r="K275" i="9"/>
  <c r="L311" i="9"/>
  <c r="K295" i="9"/>
  <c r="L167" i="9"/>
  <c r="L295" i="9"/>
  <c r="K171" i="9"/>
  <c r="K299" i="9"/>
  <c r="K263" i="9"/>
  <c r="K135" i="9"/>
  <c r="L171" i="9"/>
  <c r="L299" i="9"/>
  <c r="R10" i="8"/>
  <c r="P10" i="8"/>
  <c r="Q10" i="8"/>
  <c r="O7" i="7"/>
  <c r="Q7" i="7"/>
  <c r="P7" i="7"/>
  <c r="I18" i="6"/>
  <c r="I16" i="6"/>
  <c r="I20" i="6"/>
  <c r="T14" i="4" l="1"/>
  <c r="R14" i="4"/>
  <c r="S14" i="4"/>
  <c r="R7" i="11"/>
  <c r="S10" i="12"/>
  <c r="I24" i="10"/>
  <c r="S14" i="9"/>
  <c r="R14" i="9"/>
  <c r="S10" i="8"/>
  <c r="R7" i="7"/>
  <c r="I24" i="6"/>
  <c r="U14" i="4" l="1"/>
  <c r="U1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<sst xmlns="http://schemas.openxmlformats.org/spreadsheetml/2006/main" count="176" uniqueCount="28">
  <si>
    <t>2022Q2</t>
  </si>
  <si>
    <t>Продукт</t>
  </si>
  <si>
    <t>Денежный 1</t>
  </si>
  <si>
    <t>Дата/Переход</t>
  </si>
  <si>
    <t>1&gt;1</t>
  </si>
  <si>
    <t>1&gt;2</t>
  </si>
  <si>
    <t>1&gt;3</t>
  </si>
  <si>
    <t>2&gt;1</t>
  </si>
  <si>
    <t>2&gt;2</t>
  </si>
  <si>
    <t>2&gt;3</t>
  </si>
  <si>
    <t>3&gt;1</t>
  </si>
  <si>
    <t>3&gt;2</t>
  </si>
  <si>
    <t>3&gt;3</t>
  </si>
  <si>
    <t>1 квартал</t>
  </si>
  <si>
    <t>сумма</t>
  </si>
  <si>
    <t>сумм</t>
  </si>
  <si>
    <t>1корзина(1кв)</t>
  </si>
  <si>
    <t>1корзина(2кв)</t>
  </si>
  <si>
    <t>1корзина(3кв)</t>
  </si>
  <si>
    <t>1корзина(4кв)</t>
  </si>
  <si>
    <t>2корзина(1кв)</t>
  </si>
  <si>
    <t>2корзина(2кв)</t>
  </si>
  <si>
    <t>3корзина(3кв)</t>
  </si>
  <si>
    <t>3корзина(2кв)</t>
  </si>
  <si>
    <t>3корзина(1кв)</t>
  </si>
  <si>
    <t>2корзина(4кв)</t>
  </si>
  <si>
    <t>3корзина(4кв)</t>
  </si>
  <si>
    <t>2корзина(3кв)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</si>
</sst>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FCC5"/>
        <bgColor indexed="64"/>
      </patternFill>
    </fill>
    <fill>
      <patternFill patternType="solid">
        <fgColor rgb="FFFC7474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1" xfId="0" applyFill="1" applyBorder="1"/>
    <xf numFmtId="0" fontId="0" fillId="0" borderId="5" xfId="0" applyBorder="1"/>
    <xf numFmtId="0" fontId="0" fillId="0" borderId="9" xfId="0" applyBorder="1"/>
    <xf numFmtId="0" fontId="0" fillId="3" borderId="10" xfId="0" applyFill="1" applyBorder="1"/>
    <xf numFmtId="0" fontId="0" fillId="3" borderId="11" xfId="0" applyFill="1" applyBorder="1"/>
    <xf numFmtId="0" fontId="0" fillId="4" borderId="11" xfId="0" applyFill="1" applyBorder="1"/>
    <xf numFmtId="0" fontId="0" fillId="5" borderId="11" xfId="0" applyFill="1" applyBorder="1"/>
    <xf numFmtId="0" fontId="0" fillId="5" borderId="12" xfId="0" applyFill="1" applyBorder="1"/>
    <xf numFmtId="9" fontId="0" fillId="0" borderId="0" xfId="1" applyFont="1"/>
    <xf numFmtId="10" fontId="0" fillId="3" borderId="2" xfId="0" applyNumberFormat="1" applyFill="1" applyBorder="1"/>
    <xf numFmtId="10" fontId="0" fillId="3" borderId="3" xfId="0" applyNumberFormat="1" applyFill="1" applyBorder="1"/>
    <xf numFmtId="10" fontId="0" fillId="4" borderId="3" xfId="0" applyNumberFormat="1" applyFill="1" applyBorder="1"/>
    <xf numFmtId="10" fontId="0" fillId="5" borderId="3" xfId="0" applyNumberFormat="1" applyFill="1" applyBorder="1"/>
    <xf numFmtId="10" fontId="0" fillId="5" borderId="4" xfId="0" applyNumberFormat="1" applyFill="1" applyBorder="1"/>
    <xf numFmtId="10" fontId="0" fillId="0" borderId="0" xfId="1" applyNumberFormat="1" applyFont="1"/>
    <xf numFmtId="10" fontId="0" fillId="0" borderId="0" xfId="0" applyNumberFormat="1"/>
    <xf numFmtId="1" fontId="0" fillId="0" borderId="0" xfId="1" applyNumberFormat="1" applyFont="1"/>
    <xf numFmtId="0" fontId="2" fillId="0" borderId="0" xfId="0" applyFont="1"/>
    <xf numFmtId="0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/>
    <xf numFmtId="0" fontId="3" fillId="0" borderId="0" xfId="0" applyFont="1" applyFill="1"/>
    <xf numFmtId="0" fontId="0" fillId="0" borderId="0" xfId="0" applyFill="1"/>
    <xf numFmtId="10" fontId="0" fillId="0" borderId="0" xfId="0" applyNumberFormat="1" applyFill="1"/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80;&#1089;&#1090;%20Microsoft%20Excel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корзина(1кв)"/>
      <sheetName val="1корзина(2кв)"/>
      <sheetName val="1корзина(3кв)"/>
      <sheetName val="1корзина(4кв)"/>
    </sheetNames>
    <sheetDataSet>
      <sheetData sheetId="0"/>
      <sheetData sheetId="1"/>
      <sheetData sheetId="2">
        <row r="30">
          <cell r="E30">
            <v>5.9999999999999995E-4</v>
          </cell>
          <cell r="F30">
            <v>1.77E-2</v>
          </cell>
          <cell r="G30">
            <v>0.98170000000000002</v>
          </cell>
        </row>
        <row r="31">
          <cell r="D31">
            <v>1.3076730575999999E-2</v>
          </cell>
        </row>
        <row r="34">
          <cell r="E34">
            <v>0.94640000000000002</v>
          </cell>
          <cell r="F34">
            <v>2.6100000000000002E-2</v>
          </cell>
          <cell r="G34">
            <v>2.75E-2</v>
          </cell>
        </row>
        <row r="35">
          <cell r="D35">
            <v>1.56156E-5</v>
          </cell>
        </row>
        <row r="38">
          <cell r="E38">
            <v>0.14080000000000001</v>
          </cell>
          <cell r="F38">
            <v>0.32979999999999998</v>
          </cell>
          <cell r="G38">
            <v>0.52939999999999998</v>
          </cell>
        </row>
        <row r="39">
          <cell r="D39">
            <v>4.6066020000000001E-4</v>
          </cell>
        </row>
        <row r="42">
          <cell r="E42">
            <v>5.9999999999999995E-4</v>
          </cell>
          <cell r="F42">
            <v>1.77E-2</v>
          </cell>
          <cell r="G42">
            <v>0.98170000000000002</v>
          </cell>
        </row>
        <row r="43">
          <cell r="D43">
            <v>2.5549724200000002E-2</v>
          </cell>
        </row>
        <row r="46">
          <cell r="E46">
            <v>0.94640000000000002</v>
          </cell>
          <cell r="F46">
            <v>2.6100000000000002E-2</v>
          </cell>
          <cell r="G46">
            <v>2.75E-2</v>
          </cell>
        </row>
        <row r="47">
          <cell r="D47">
            <v>3.4779064320000007E-3</v>
          </cell>
        </row>
        <row r="50">
          <cell r="E50">
            <v>0.14080000000000001</v>
          </cell>
          <cell r="F50">
            <v>0.32979999999999998</v>
          </cell>
          <cell r="G50">
            <v>0.52939999999999998</v>
          </cell>
        </row>
        <row r="51">
          <cell r="D51">
            <v>9.5914368000000024E-5</v>
          </cell>
        </row>
        <row r="54">
          <cell r="E54">
            <v>5.9999999999999995E-4</v>
          </cell>
          <cell r="F54">
            <v>1.77E-2</v>
          </cell>
          <cell r="G54">
            <v>0.98170000000000002</v>
          </cell>
        </row>
        <row r="55">
          <cell r="D55">
            <v>1.0105920000000002E-4</v>
          </cell>
        </row>
        <row r="58">
          <cell r="E58">
            <v>0.94640000000000002</v>
          </cell>
          <cell r="F58">
            <v>2.6100000000000002E-2</v>
          </cell>
          <cell r="G58">
            <v>2.75E-2</v>
          </cell>
        </row>
        <row r="59">
          <cell r="D59">
            <v>1.2119754240000002E-3</v>
          </cell>
        </row>
        <row r="62">
          <cell r="E62">
            <v>0.14080000000000001</v>
          </cell>
          <cell r="F62">
            <v>0.32979999999999998</v>
          </cell>
          <cell r="G62">
            <v>0.52939999999999998</v>
          </cell>
        </row>
        <row r="63">
          <cell r="D63">
            <v>2.8388458440000001E-3</v>
          </cell>
        </row>
        <row r="66">
          <cell r="E66">
            <v>5.9999999999999995E-4</v>
          </cell>
          <cell r="F66">
            <v>1.77E-2</v>
          </cell>
          <cell r="G66">
            <v>0.98170000000000002</v>
          </cell>
        </row>
        <row r="67">
          <cell r="D67">
            <v>4.5569587320000004E-3</v>
          </cell>
        </row>
        <row r="70">
          <cell r="E70">
            <v>0.94640000000000002</v>
          </cell>
          <cell r="F70">
            <v>2.6100000000000002E-2</v>
          </cell>
          <cell r="G70">
            <v>2.75E-2</v>
          </cell>
        </row>
        <row r="71">
          <cell r="D71">
            <v>8.2904040000000004E-6</v>
          </cell>
        </row>
        <row r="74">
          <cell r="E74">
            <v>0.14080000000000001</v>
          </cell>
          <cell r="F74">
            <v>0.32979999999999998</v>
          </cell>
          <cell r="G74">
            <v>0.52939999999999998</v>
          </cell>
        </row>
        <row r="75">
          <cell r="D75">
            <v>2.4456691800000001E-4</v>
          </cell>
        </row>
        <row r="78">
          <cell r="E78">
            <v>5.9999999999999995E-4</v>
          </cell>
          <cell r="F78">
            <v>1.77E-2</v>
          </cell>
          <cell r="G78">
            <v>0.98170000000000002</v>
          </cell>
        </row>
        <row r="79">
          <cell r="D79">
            <v>1.3564482678000001E-2</v>
          </cell>
        </row>
        <row r="82">
          <cell r="E82">
            <v>0.94640000000000002</v>
          </cell>
          <cell r="F82">
            <v>2.6100000000000002E-2</v>
          </cell>
          <cell r="G82">
            <v>2.75E-2</v>
          </cell>
        </row>
        <row r="83">
          <cell r="D83">
            <v>1.5615599999999997E-5</v>
          </cell>
        </row>
        <row r="86">
          <cell r="E86">
            <v>0.14080000000000001</v>
          </cell>
          <cell r="F86">
            <v>0.32979999999999998</v>
          </cell>
          <cell r="G86">
            <v>0.52939999999999998</v>
          </cell>
        </row>
        <row r="87">
          <cell r="D87">
            <v>4.3064999999999996E-7</v>
          </cell>
        </row>
        <row r="90">
          <cell r="E90">
            <v>5.9999999999999995E-4</v>
          </cell>
          <cell r="F90">
            <v>1.77E-2</v>
          </cell>
          <cell r="G90">
            <v>0.98170000000000002</v>
          </cell>
        </row>
        <row r="91">
          <cell r="D91">
            <v>4.5374999999999994E-7</v>
          </cell>
        </row>
        <row r="94">
          <cell r="E94">
            <v>0.94640000000000002</v>
          </cell>
          <cell r="F94">
            <v>2.6100000000000002E-2</v>
          </cell>
          <cell r="G94">
            <v>2.75E-2</v>
          </cell>
        </row>
        <row r="95">
          <cell r="D95">
            <v>6.8534400000000006E-5</v>
          </cell>
        </row>
        <row r="98">
          <cell r="E98">
            <v>0.14080000000000001</v>
          </cell>
          <cell r="F98">
            <v>0.32979999999999998</v>
          </cell>
          <cell r="G98">
            <v>0.52939999999999998</v>
          </cell>
        </row>
        <row r="99">
          <cell r="D99">
            <v>1.6053015000000001E-4</v>
          </cell>
        </row>
        <row r="102">
          <cell r="E102">
            <v>5.9999999999999995E-4</v>
          </cell>
          <cell r="F102">
            <v>1.77E-2</v>
          </cell>
          <cell r="G102">
            <v>0.98170000000000002</v>
          </cell>
        </row>
        <row r="103">
          <cell r="D103">
            <v>2.5768545E-4</v>
          </cell>
        </row>
        <row r="106">
          <cell r="E106">
            <v>0.94640000000000002</v>
          </cell>
          <cell r="F106">
            <v>2.6100000000000002E-2</v>
          </cell>
          <cell r="G106">
            <v>2.75E-2</v>
          </cell>
        </row>
        <row r="107">
          <cell r="D107">
            <v>1.619805E-5</v>
          </cell>
        </row>
        <row r="110">
          <cell r="E110">
            <v>0.14080000000000001</v>
          </cell>
          <cell r="F110">
            <v>0.32979999999999998</v>
          </cell>
          <cell r="G110">
            <v>0.52939999999999998</v>
          </cell>
        </row>
        <row r="111">
          <cell r="D111">
            <v>4.7784247500000002E-4</v>
          </cell>
        </row>
        <row r="114">
          <cell r="E114">
            <v>5.9999999999999995E-4</v>
          </cell>
          <cell r="F114">
            <v>1.77E-2</v>
          </cell>
          <cell r="G114">
            <v>0.98170000000000002</v>
          </cell>
        </row>
        <row r="115">
          <cell r="D115">
            <v>2.6502709475E-2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zoomScale="70" zoomScaleNormal="70" workbookViewId="0">
      <selection activeCell="A28" sqref="A28"/>
    </sheetView>
  </sheetViews>
  <sheetFormatPr defaultRowHeight="14.5" x14ac:dyDescent="0.35"/>
  <cols>
    <col min="1" max="1" width="13.26953125" bestFit="1" customWidth="1"/>
  </cols>
  <sheetData>
    <row r="1" spans="1:10" x14ac:dyDescent="0.35">
      <c r="A1" s="2" t="s">
        <v>1</v>
      </c>
      <c r="B1" s="28" t="s">
        <v>2</v>
      </c>
      <c r="C1" s="29"/>
      <c r="D1" s="29"/>
      <c r="E1" s="29"/>
      <c r="F1" s="29"/>
      <c r="G1" s="29"/>
      <c r="H1" s="29"/>
      <c r="I1" s="29"/>
      <c r="J1" s="30"/>
    </row>
    <row r="2" spans="1:10" ht="15" thickBot="1" x14ac:dyDescent="0.4">
      <c r="A2" s="3" t="s">
        <v>3</v>
      </c>
      <c r="B2" s="4" t="s">
        <v>4</v>
      </c>
      <c r="C2" s="5" t="s">
        <v>5</v>
      </c>
      <c r="D2" s="5" t="s">
        <v>6</v>
      </c>
      <c r="E2" s="6" t="s">
        <v>7</v>
      </c>
      <c r="F2" s="6" t="s">
        <v>8</v>
      </c>
      <c r="G2" s="6" t="s">
        <v>9</v>
      </c>
      <c r="H2" s="7" t="s">
        <v>10</v>
      </c>
      <c r="I2" s="7" t="s">
        <v>11</v>
      </c>
      <c r="J2" s="8" t="s">
        <v>12</v>
      </c>
    </row>
    <row r="3" spans="1:10" x14ac:dyDescent="0.35">
      <c r="A3" s="1" t="s">
        <v>0</v>
      </c>
      <c r="B3" s="10">
        <v>0.94640000000000002</v>
      </c>
      <c r="C3" s="11">
        <v>2.6100000000000002E-2</v>
      </c>
      <c r="D3" s="11">
        <v>2.75E-2</v>
      </c>
      <c r="E3" s="12">
        <v>0.14080000000000001</v>
      </c>
      <c r="F3" s="12">
        <v>0.32979999999999998</v>
      </c>
      <c r="G3" s="12">
        <v>0.52939999999999998</v>
      </c>
      <c r="H3" s="13">
        <v>5.9999999999999995E-4</v>
      </c>
      <c r="I3" s="13">
        <v>1.77E-2</v>
      </c>
      <c r="J3" s="14">
        <v>0.98170000000000002</v>
      </c>
    </row>
    <row r="11" spans="1:10" x14ac:dyDescent="0.35">
      <c r="E11" t="s">
        <v>13</v>
      </c>
    </row>
    <row r="12" spans="1:10" x14ac:dyDescent="0.35">
      <c r="E12">
        <v>1</v>
      </c>
    </row>
    <row r="13" spans="1:10" x14ac:dyDescent="0.35">
      <c r="E13" s="15">
        <f>$B$18*C14</f>
        <v>0.89567296000000007</v>
      </c>
    </row>
    <row r="14" spans="1:10" x14ac:dyDescent="0.35">
      <c r="C14" s="15">
        <f>B3</f>
        <v>0.94640000000000002</v>
      </c>
      <c r="E14" s="15"/>
    </row>
    <row r="15" spans="1:10" x14ac:dyDescent="0.35">
      <c r="C15" s="15"/>
      <c r="E15" s="15"/>
      <c r="H15">
        <v>1</v>
      </c>
      <c r="I15">
        <v>1</v>
      </c>
    </row>
    <row r="16" spans="1:10" x14ac:dyDescent="0.35">
      <c r="C16" s="15"/>
      <c r="E16" s="17">
        <v>2</v>
      </c>
      <c r="I16" s="16">
        <f>E13+E24+E37</f>
        <v>0.8993643400000001</v>
      </c>
    </row>
    <row r="17" spans="1:9" x14ac:dyDescent="0.35">
      <c r="B17">
        <v>1</v>
      </c>
      <c r="C17" s="15">
        <f>C3</f>
        <v>2.6100000000000002E-2</v>
      </c>
      <c r="E17" s="15">
        <f>B18*C17</f>
        <v>2.470104E-2</v>
      </c>
    </row>
    <row r="18" spans="1:9" x14ac:dyDescent="0.35">
      <c r="B18" s="15">
        <f>B3</f>
        <v>0.94640000000000002</v>
      </c>
      <c r="C18" s="15"/>
      <c r="E18" s="15"/>
      <c r="H18">
        <v>1</v>
      </c>
      <c r="I18">
        <v>2</v>
      </c>
    </row>
    <row r="19" spans="1:9" x14ac:dyDescent="0.35">
      <c r="C19" s="15"/>
      <c r="E19" s="17">
        <v>3</v>
      </c>
      <c r="I19" s="16">
        <f>E17+E27+E40</f>
        <v>3.3795570000000004E-2</v>
      </c>
    </row>
    <row r="20" spans="1:9" x14ac:dyDescent="0.35">
      <c r="C20" s="15">
        <f>D3</f>
        <v>2.75E-2</v>
      </c>
      <c r="E20" s="15">
        <f>B18*C20</f>
        <v>2.6026000000000001E-2</v>
      </c>
      <c r="H20">
        <v>1</v>
      </c>
      <c r="I20">
        <v>3</v>
      </c>
    </row>
    <row r="21" spans="1:9" x14ac:dyDescent="0.35">
      <c r="C21" s="15"/>
      <c r="I21" s="16">
        <f>E20+E31+E44</f>
        <v>6.6840090000000005E-2</v>
      </c>
    </row>
    <row r="22" spans="1:9" x14ac:dyDescent="0.35">
      <c r="C22" s="15"/>
    </row>
    <row r="23" spans="1:9" x14ac:dyDescent="0.35">
      <c r="C23" s="15"/>
      <c r="E23">
        <v>1</v>
      </c>
    </row>
    <row r="24" spans="1:9" x14ac:dyDescent="0.35">
      <c r="C24" s="15">
        <f>E3</f>
        <v>0.14080000000000001</v>
      </c>
      <c r="E24" s="16">
        <f>B28*C24</f>
        <v>3.6748800000000006E-3</v>
      </c>
      <c r="H24" t="s">
        <v>14</v>
      </c>
      <c r="I24" s="16">
        <f>I16+I19+I21</f>
        <v>1</v>
      </c>
    </row>
    <row r="25" spans="1:9" x14ac:dyDescent="0.35">
      <c r="C25" s="15"/>
    </row>
    <row r="26" spans="1:9" x14ac:dyDescent="0.35">
      <c r="C26" s="15"/>
      <c r="E26">
        <v>2</v>
      </c>
    </row>
    <row r="27" spans="1:9" x14ac:dyDescent="0.35">
      <c r="B27">
        <v>2</v>
      </c>
      <c r="C27" s="15">
        <f>F3</f>
        <v>0.32979999999999998</v>
      </c>
      <c r="E27" s="16">
        <f>B28*C27</f>
        <v>8.6077800000000006E-3</v>
      </c>
    </row>
    <row r="28" spans="1:9" x14ac:dyDescent="0.35">
      <c r="A28" t="s">
        <v>16</v>
      </c>
      <c r="B28" s="15">
        <f>C3</f>
        <v>2.6100000000000002E-2</v>
      </c>
      <c r="C28" s="15"/>
    </row>
    <row r="29" spans="1:9" x14ac:dyDescent="0.35">
      <c r="C29" s="15"/>
    </row>
    <row r="30" spans="1:9" x14ac:dyDescent="0.35">
      <c r="C30" s="15"/>
      <c r="E30">
        <v>3</v>
      </c>
    </row>
    <row r="31" spans="1:9" x14ac:dyDescent="0.35">
      <c r="C31" s="15">
        <f>G3</f>
        <v>0.52939999999999998</v>
      </c>
      <c r="E31" s="16">
        <f>C31*B28</f>
        <v>1.3817340000000001E-2</v>
      </c>
    </row>
    <row r="32" spans="1:9" x14ac:dyDescent="0.35">
      <c r="C32" s="15"/>
    </row>
    <row r="33" spans="2:5" x14ac:dyDescent="0.35">
      <c r="C33" s="15"/>
    </row>
    <row r="34" spans="2:5" x14ac:dyDescent="0.35">
      <c r="C34" s="15"/>
    </row>
    <row r="35" spans="2:5" x14ac:dyDescent="0.35">
      <c r="C35" s="15"/>
    </row>
    <row r="36" spans="2:5" x14ac:dyDescent="0.35">
      <c r="C36" s="15"/>
      <c r="E36">
        <v>1</v>
      </c>
    </row>
    <row r="37" spans="2:5" x14ac:dyDescent="0.35">
      <c r="C37" s="15">
        <f>H3</f>
        <v>5.9999999999999995E-4</v>
      </c>
      <c r="E37" s="16">
        <f>B41*C37</f>
        <v>1.6499999999999998E-5</v>
      </c>
    </row>
    <row r="38" spans="2:5" x14ac:dyDescent="0.35">
      <c r="C38" s="15"/>
    </row>
    <row r="39" spans="2:5" x14ac:dyDescent="0.35">
      <c r="C39" s="15"/>
      <c r="E39">
        <v>2</v>
      </c>
    </row>
    <row r="40" spans="2:5" x14ac:dyDescent="0.35">
      <c r="B40">
        <v>3</v>
      </c>
      <c r="C40" s="15">
        <f>I3</f>
        <v>1.77E-2</v>
      </c>
      <c r="E40" s="16">
        <f>B41*C40</f>
        <v>4.8675000000000004E-4</v>
      </c>
    </row>
    <row r="41" spans="2:5" x14ac:dyDescent="0.35">
      <c r="B41" s="15">
        <f>D3</f>
        <v>2.75E-2</v>
      </c>
      <c r="C41" s="15"/>
    </row>
    <row r="42" spans="2:5" x14ac:dyDescent="0.35">
      <c r="C42" s="15"/>
    </row>
    <row r="43" spans="2:5" x14ac:dyDescent="0.35">
      <c r="C43" s="15"/>
      <c r="E43">
        <v>3</v>
      </c>
    </row>
    <row r="44" spans="2:5" x14ac:dyDescent="0.35">
      <c r="C44" s="15">
        <f>J3</f>
        <v>0.98170000000000002</v>
      </c>
      <c r="E44" s="16">
        <f>B41*C44</f>
        <v>2.699675E-2</v>
      </c>
    </row>
    <row r="45" spans="2:5" x14ac:dyDescent="0.35">
      <c r="C45" s="15"/>
    </row>
  </sheetData>
  <mergeCells count="1">
    <mergeCell ref="B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3725-F995-45D3-B2FA-7E082963FE4B}">
  <dimension ref="A1:R44"/>
  <sheetViews>
    <sheetView topLeftCell="B1" zoomScale="70" zoomScaleNormal="70" workbookViewId="0">
      <selection activeCell="B25" sqref="B25"/>
    </sheetView>
  </sheetViews>
  <sheetFormatPr defaultRowHeight="14.5" x14ac:dyDescent="0.35"/>
  <cols>
    <col min="5" max="5" width="13.36328125" customWidth="1"/>
  </cols>
  <sheetData>
    <row r="1" spans="1:18" ht="15" thickBot="1" x14ac:dyDescent="0.4">
      <c r="A1">
        <v>1</v>
      </c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1:18" x14ac:dyDescent="0.35">
      <c r="B2" s="16"/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3" spans="1:18" x14ac:dyDescent="0.35">
      <c r="P3" s="16"/>
    </row>
    <row r="4" spans="1:18" x14ac:dyDescent="0.35">
      <c r="A4">
        <v>1</v>
      </c>
      <c r="P4" s="16"/>
    </row>
    <row r="5" spans="1:18" x14ac:dyDescent="0.35">
      <c r="B5" s="16"/>
      <c r="P5" s="19"/>
      <c r="Q5" s="19"/>
      <c r="R5" s="19"/>
    </row>
    <row r="6" spans="1:18" x14ac:dyDescent="0.35">
      <c r="A6">
        <v>1</v>
      </c>
      <c r="O6" s="20">
        <v>1</v>
      </c>
      <c r="P6" s="21">
        <v>2</v>
      </c>
      <c r="Q6" s="22">
        <v>3</v>
      </c>
      <c r="R6" s="22" t="s">
        <v>14</v>
      </c>
    </row>
    <row r="7" spans="1:18" x14ac:dyDescent="0.35">
      <c r="B7" s="16"/>
      <c r="O7" s="23">
        <f>J15+J18+J21+J26+J29+J32+J37+J40+J43</f>
        <v>0.85595693168599984</v>
      </c>
      <c r="P7" s="23">
        <f t="shared" ref="P7:Q7" si="0">K15+K18+K21+K26+K29+K32+K37+K40+K43</f>
        <v>3.5802257852999994E-2</v>
      </c>
      <c r="Q7" s="23">
        <f t="shared" si="0"/>
        <v>0.10824081046100002</v>
      </c>
      <c r="R7" s="23">
        <f>O7+P7+Q7</f>
        <v>0.99999999999999978</v>
      </c>
    </row>
    <row r="8" spans="1:18" x14ac:dyDescent="0.35">
      <c r="P8" s="9"/>
    </row>
    <row r="9" spans="1:18" x14ac:dyDescent="0.35">
      <c r="P9" s="9"/>
    </row>
    <row r="10" spans="1:18" x14ac:dyDescent="0.35">
      <c r="P10" s="16"/>
    </row>
    <row r="14" spans="1:18" x14ac:dyDescent="0.35">
      <c r="E14">
        <v>1</v>
      </c>
      <c r="F14">
        <v>2</v>
      </c>
      <c r="G14">
        <v>3</v>
      </c>
      <c r="J14">
        <v>1</v>
      </c>
      <c r="K14">
        <v>2</v>
      </c>
      <c r="L14">
        <v>3</v>
      </c>
      <c r="P14" s="16"/>
    </row>
    <row r="15" spans="1:18" x14ac:dyDescent="0.35">
      <c r="D15">
        <v>1</v>
      </c>
      <c r="E15" s="16">
        <f>$F$2</f>
        <v>0.94640000000000002</v>
      </c>
      <c r="F15" s="16">
        <f>$G$2</f>
        <v>2.6100000000000002E-2</v>
      </c>
      <c r="G15" s="16">
        <f>$H$2</f>
        <v>2.75E-2</v>
      </c>
      <c r="J15" s="16">
        <f>D16*E15</f>
        <v>0.84766488934400008</v>
      </c>
      <c r="K15" s="16">
        <f>D16*F15</f>
        <v>2.3377064256000002E-2</v>
      </c>
      <c r="L15" s="16">
        <f>D16*G15</f>
        <v>2.4631006400000002E-2</v>
      </c>
    </row>
    <row r="16" spans="1:18" x14ac:dyDescent="0.35">
      <c r="D16" s="16">
        <v>0.89567296000000007</v>
      </c>
    </row>
    <row r="17" spans="2:16" x14ac:dyDescent="0.35">
      <c r="E17">
        <v>1</v>
      </c>
      <c r="F17">
        <v>2</v>
      </c>
      <c r="G17">
        <v>3</v>
      </c>
      <c r="J17">
        <v>1</v>
      </c>
      <c r="K17">
        <v>2</v>
      </c>
      <c r="L17">
        <v>3</v>
      </c>
      <c r="P17" s="16"/>
    </row>
    <row r="18" spans="2:16" x14ac:dyDescent="0.35">
      <c r="D18">
        <v>2</v>
      </c>
      <c r="E18" s="16">
        <f>$I$2</f>
        <v>0.14080000000000001</v>
      </c>
      <c r="F18" s="16">
        <f>$J$2</f>
        <v>0.32979999999999998</v>
      </c>
      <c r="G18" s="16">
        <f>$K$2</f>
        <v>0.52939999999999998</v>
      </c>
      <c r="J18" s="16">
        <f>D19*E18</f>
        <v>3.4779064320000002E-3</v>
      </c>
      <c r="K18" s="16">
        <f>D19*F18</f>
        <v>8.146402992E-3</v>
      </c>
      <c r="L18" s="16">
        <f>D19*G18</f>
        <v>1.3076730575999999E-2</v>
      </c>
    </row>
    <row r="19" spans="2:16" x14ac:dyDescent="0.35">
      <c r="D19" s="16">
        <v>2.470104E-2</v>
      </c>
      <c r="J19" s="16"/>
      <c r="K19" s="16"/>
      <c r="L19" s="16"/>
    </row>
    <row r="20" spans="2:16" x14ac:dyDescent="0.35">
      <c r="E20">
        <v>1</v>
      </c>
      <c r="F20">
        <v>2</v>
      </c>
      <c r="G20">
        <v>3</v>
      </c>
      <c r="J20">
        <v>1</v>
      </c>
      <c r="K20">
        <v>2</v>
      </c>
      <c r="L20">
        <v>3</v>
      </c>
    </row>
    <row r="21" spans="2:16" x14ac:dyDescent="0.35">
      <c r="D21">
        <v>3</v>
      </c>
      <c r="E21" s="16">
        <f>$L$2</f>
        <v>5.9999999999999995E-4</v>
      </c>
      <c r="F21" s="16">
        <f>$M$2</f>
        <v>1.77E-2</v>
      </c>
      <c r="G21" s="16">
        <f>$N$2</f>
        <v>0.98170000000000002</v>
      </c>
      <c r="J21" s="16">
        <f>D22*E21</f>
        <v>1.56156E-5</v>
      </c>
      <c r="K21" s="16">
        <f>D22*F21</f>
        <v>4.6066020000000001E-4</v>
      </c>
      <c r="L21" s="16">
        <f>D22*G21</f>
        <v>2.5549724200000002E-2</v>
      </c>
      <c r="P21" s="16"/>
    </row>
    <row r="22" spans="2:16" x14ac:dyDescent="0.35">
      <c r="D22" s="16">
        <v>2.6026000000000001E-2</v>
      </c>
      <c r="J22" s="16"/>
      <c r="K22" s="16"/>
      <c r="L22" s="16"/>
    </row>
    <row r="25" spans="2:16" x14ac:dyDescent="0.35">
      <c r="B25" t="s">
        <v>17</v>
      </c>
      <c r="E25">
        <v>1</v>
      </c>
      <c r="F25">
        <v>2</v>
      </c>
      <c r="G25">
        <v>3</v>
      </c>
      <c r="J25">
        <v>1</v>
      </c>
      <c r="K25">
        <v>2</v>
      </c>
      <c r="L25">
        <v>3</v>
      </c>
    </row>
    <row r="26" spans="2:16" x14ac:dyDescent="0.35">
      <c r="D26">
        <v>1</v>
      </c>
      <c r="E26" s="16">
        <f>$F$2</f>
        <v>0.94640000000000002</v>
      </c>
      <c r="F26" s="16">
        <f>$G$2</f>
        <v>2.6100000000000002E-2</v>
      </c>
      <c r="G26" s="16">
        <f>$H$2</f>
        <v>2.75E-2</v>
      </c>
      <c r="J26" s="16">
        <f>D27*E26</f>
        <v>3.4779064320000007E-3</v>
      </c>
      <c r="K26" s="16">
        <f>D27*F26</f>
        <v>9.5914368000000024E-5</v>
      </c>
      <c r="L26" s="16">
        <f>D27*G26</f>
        <v>1.0105920000000002E-4</v>
      </c>
    </row>
    <row r="27" spans="2:16" x14ac:dyDescent="0.35">
      <c r="D27" s="16">
        <v>3.6748800000000006E-3</v>
      </c>
      <c r="P27" s="16"/>
    </row>
    <row r="28" spans="2:16" x14ac:dyDescent="0.35">
      <c r="E28">
        <v>1</v>
      </c>
      <c r="F28">
        <v>2</v>
      </c>
      <c r="G28">
        <v>3</v>
      </c>
      <c r="J28">
        <v>1</v>
      </c>
      <c r="K28">
        <v>2</v>
      </c>
      <c r="L28">
        <v>3</v>
      </c>
    </row>
    <row r="29" spans="2:16" x14ac:dyDescent="0.35">
      <c r="D29">
        <v>2</v>
      </c>
      <c r="E29" s="16">
        <f>$I$2</f>
        <v>0.14080000000000001</v>
      </c>
      <c r="F29" s="16">
        <f>$J$2</f>
        <v>0.32979999999999998</v>
      </c>
      <c r="G29" s="16">
        <f>$K$2</f>
        <v>0.52939999999999998</v>
      </c>
      <c r="J29" s="16">
        <f>D30*E29</f>
        <v>1.2119754240000002E-3</v>
      </c>
      <c r="K29" s="16">
        <f>D30*F29</f>
        <v>2.8388458440000001E-3</v>
      </c>
      <c r="L29" s="16">
        <f>D30*G29</f>
        <v>4.5569587320000004E-3</v>
      </c>
    </row>
    <row r="30" spans="2:16" x14ac:dyDescent="0.35">
      <c r="D30" s="16">
        <v>8.6077800000000006E-3</v>
      </c>
      <c r="J30" s="16"/>
      <c r="K30" s="16"/>
      <c r="L30" s="16"/>
      <c r="P30" s="16"/>
    </row>
    <row r="31" spans="2:16" x14ac:dyDescent="0.35">
      <c r="E31">
        <v>1</v>
      </c>
      <c r="F31">
        <v>2</v>
      </c>
      <c r="G31">
        <v>3</v>
      </c>
      <c r="J31">
        <v>1</v>
      </c>
      <c r="K31">
        <v>2</v>
      </c>
      <c r="L31">
        <v>3</v>
      </c>
    </row>
    <row r="32" spans="2:16" x14ac:dyDescent="0.35">
      <c r="D32">
        <v>3</v>
      </c>
      <c r="E32" s="16">
        <f>$L$2</f>
        <v>5.9999999999999995E-4</v>
      </c>
      <c r="F32" s="16">
        <f>$M$2</f>
        <v>1.77E-2</v>
      </c>
      <c r="G32" s="16">
        <f>$N$2</f>
        <v>0.98170000000000002</v>
      </c>
      <c r="J32" s="16">
        <f>D33*E32</f>
        <v>8.2904040000000004E-6</v>
      </c>
      <c r="K32" s="16">
        <f>D33*F32</f>
        <v>2.4456691800000001E-4</v>
      </c>
      <c r="L32" s="16">
        <f>D33*G32</f>
        <v>1.3564482678000001E-2</v>
      </c>
    </row>
    <row r="33" spans="4:16" x14ac:dyDescent="0.35">
      <c r="D33" s="16">
        <v>1.3817340000000001E-2</v>
      </c>
    </row>
    <row r="34" spans="4:16" x14ac:dyDescent="0.35">
      <c r="P34" s="16"/>
    </row>
    <row r="36" spans="4:16" x14ac:dyDescent="0.35">
      <c r="E36">
        <v>1</v>
      </c>
      <c r="F36">
        <v>2</v>
      </c>
      <c r="G36">
        <v>3</v>
      </c>
      <c r="J36">
        <v>1</v>
      </c>
      <c r="K36">
        <v>2</v>
      </c>
      <c r="L36">
        <v>3</v>
      </c>
    </row>
    <row r="37" spans="4:16" x14ac:dyDescent="0.35">
      <c r="D37">
        <v>1</v>
      </c>
      <c r="E37" s="16">
        <f>$F$2</f>
        <v>0.94640000000000002</v>
      </c>
      <c r="F37" s="16">
        <f>$G$2</f>
        <v>2.6100000000000002E-2</v>
      </c>
      <c r="G37" s="16">
        <f>$H$2</f>
        <v>2.75E-2</v>
      </c>
      <c r="J37" s="16">
        <f>D38*E37</f>
        <v>1.5615599999999997E-5</v>
      </c>
      <c r="K37" s="16">
        <f>D38*F37</f>
        <v>4.3064999999999996E-7</v>
      </c>
      <c r="L37" s="16">
        <f>D38*G37</f>
        <v>4.5374999999999994E-7</v>
      </c>
    </row>
    <row r="38" spans="4:16" x14ac:dyDescent="0.35">
      <c r="D38" s="16">
        <v>1.6499999999999998E-5</v>
      </c>
    </row>
    <row r="39" spans="4:16" x14ac:dyDescent="0.35">
      <c r="E39">
        <v>1</v>
      </c>
      <c r="F39">
        <v>2</v>
      </c>
      <c r="G39">
        <v>3</v>
      </c>
      <c r="J39">
        <v>1</v>
      </c>
      <c r="K39">
        <v>2</v>
      </c>
      <c r="L39">
        <v>3</v>
      </c>
    </row>
    <row r="40" spans="4:16" x14ac:dyDescent="0.35">
      <c r="D40">
        <v>2</v>
      </c>
      <c r="E40" s="16">
        <f>$I$2</f>
        <v>0.14080000000000001</v>
      </c>
      <c r="F40" s="16">
        <f>$J$2</f>
        <v>0.32979999999999998</v>
      </c>
      <c r="G40" s="16">
        <f>$K$2</f>
        <v>0.52939999999999998</v>
      </c>
      <c r="J40" s="16">
        <f>D41*E40</f>
        <v>6.8534400000000006E-5</v>
      </c>
      <c r="K40" s="16">
        <f>D41*F40</f>
        <v>1.6053015000000001E-4</v>
      </c>
      <c r="L40" s="16">
        <f>D41*G40</f>
        <v>2.5768545E-4</v>
      </c>
    </row>
    <row r="41" spans="4:16" x14ac:dyDescent="0.35">
      <c r="D41" s="16">
        <v>4.8675000000000004E-4</v>
      </c>
      <c r="J41" s="16"/>
      <c r="K41" s="16"/>
      <c r="L41" s="16"/>
    </row>
    <row r="42" spans="4:16" x14ac:dyDescent="0.35">
      <c r="E42">
        <v>1</v>
      </c>
      <c r="F42">
        <v>2</v>
      </c>
      <c r="G42">
        <v>3</v>
      </c>
      <c r="J42">
        <v>1</v>
      </c>
      <c r="K42">
        <v>2</v>
      </c>
      <c r="L42">
        <v>3</v>
      </c>
    </row>
    <row r="43" spans="4:16" x14ac:dyDescent="0.35">
      <c r="D43">
        <v>3</v>
      </c>
      <c r="E43" s="16">
        <f>$L$2</f>
        <v>5.9999999999999995E-4</v>
      </c>
      <c r="F43" s="16">
        <f>$M$2</f>
        <v>1.77E-2</v>
      </c>
      <c r="G43" s="16">
        <f>$N$2</f>
        <v>0.98170000000000002</v>
      </c>
      <c r="J43" s="16">
        <f>D44*E43</f>
        <v>1.619805E-5</v>
      </c>
      <c r="K43" s="16">
        <f>D44*F43</f>
        <v>4.7784247500000002E-4</v>
      </c>
      <c r="L43" s="16">
        <f>D44*G43</f>
        <v>2.6502709475E-2</v>
      </c>
    </row>
    <row r="44" spans="4:16" x14ac:dyDescent="0.35">
      <c r="D44" s="16">
        <v>2.699675E-2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6C39-AB6C-49B5-9A44-610BF122476E}">
  <dimension ref="A1:S115"/>
  <sheetViews>
    <sheetView zoomScale="55" zoomScaleNormal="55" workbookViewId="0">
      <selection activeCell="D42" sqref="D42"/>
    </sheetView>
  </sheetViews>
  <sheetFormatPr defaultRowHeight="14.5" x14ac:dyDescent="0.35"/>
  <cols>
    <col min="5" max="5" width="13.26953125" bestFit="1" customWidth="1"/>
  </cols>
  <sheetData>
    <row r="1" spans="4:19" ht="15" thickBot="1" x14ac:dyDescent="0.4"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4:19" x14ac:dyDescent="0.35"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8" spans="4:19" x14ac:dyDescent="0.35">
      <c r="L8" s="16"/>
      <c r="M8" s="16"/>
      <c r="N8" s="16"/>
    </row>
    <row r="9" spans="4:19" x14ac:dyDescent="0.35">
      <c r="E9">
        <v>1</v>
      </c>
      <c r="F9">
        <v>2</v>
      </c>
      <c r="G9">
        <v>3</v>
      </c>
      <c r="K9">
        <v>1</v>
      </c>
      <c r="L9">
        <v>2</v>
      </c>
      <c r="M9">
        <v>3</v>
      </c>
      <c r="P9">
        <v>1</v>
      </c>
      <c r="Q9" s="19">
        <v>2</v>
      </c>
      <c r="R9" s="19">
        <v>3</v>
      </c>
      <c r="S9" t="s">
        <v>14</v>
      </c>
    </row>
    <row r="10" spans="4:19" x14ac:dyDescent="0.35">
      <c r="D10">
        <v>1</v>
      </c>
      <c r="E10" s="16">
        <f>$F$2</f>
        <v>0.94640000000000002</v>
      </c>
      <c r="F10" s="16">
        <f>$G$2</f>
        <v>2.6100000000000002E-2</v>
      </c>
      <c r="G10" s="16">
        <f>$H$2</f>
        <v>2.75E-2</v>
      </c>
      <c r="K10" s="16">
        <f>E10*D11</f>
        <v>0.80223005127516167</v>
      </c>
      <c r="L10" s="16">
        <f>D11*F10</f>
        <v>2.2124053611878403E-2</v>
      </c>
      <c r="M10" s="16">
        <f>D11*G10</f>
        <v>2.3310784456960002E-2</v>
      </c>
      <c r="P10" s="16">
        <f>K10+K14+K18+K22+K26+K30+K34+K38+K42+K46+K50+K54+K58+K62+K66+K70+K74+K78+K82+K86+K90+K94+K98+K102+K106+K110+K114</f>
        <v>0.81518354253960945</v>
      </c>
      <c r="Q10" s="16">
        <f>L10+L14+L18+L22+L26+L30+L34+L38+L42+L46+L50+L54+L58+L62+L66+L70+L74+L78+L82+L86+L90+L94+L98+L102+L106+L110+L114</f>
        <v>3.6063922902083712E-2</v>
      </c>
      <c r="R10" s="16">
        <f>M10+M14+M18+M22+M26+M30+M34+M38+M42+M46+M50+M54+M58+M62+M66+M70+M74+M78+M82+M86+M90+M94+M98+M102+M106+M110+M114</f>
        <v>0.14875253455830695</v>
      </c>
      <c r="S10" s="16">
        <f>P10+Q10+R10</f>
        <v>1</v>
      </c>
    </row>
    <row r="11" spans="4:19" x14ac:dyDescent="0.35">
      <c r="D11" s="16">
        <v>0.84766488934400008</v>
      </c>
      <c r="Q11" s="16"/>
    </row>
    <row r="12" spans="4:19" x14ac:dyDescent="0.35">
      <c r="L12" s="16"/>
      <c r="M12" s="16"/>
      <c r="N12" s="16"/>
    </row>
    <row r="13" spans="4:19" x14ac:dyDescent="0.35">
      <c r="E13">
        <v>1</v>
      </c>
      <c r="F13">
        <v>2</v>
      </c>
      <c r="G13">
        <v>3</v>
      </c>
      <c r="K13">
        <v>1</v>
      </c>
      <c r="L13">
        <v>2</v>
      </c>
      <c r="M13">
        <v>3</v>
      </c>
    </row>
    <row r="14" spans="4:19" x14ac:dyDescent="0.35">
      <c r="D14">
        <v>2</v>
      </c>
      <c r="E14" s="16">
        <f>$I$2</f>
        <v>0.14080000000000001</v>
      </c>
      <c r="F14" s="16">
        <f>$J$2</f>
        <v>0.32979999999999998</v>
      </c>
      <c r="G14" s="16">
        <f>$K$2</f>
        <v>0.52939999999999998</v>
      </c>
      <c r="K14" s="16">
        <f>D15*E14</f>
        <v>3.2914906472448005E-3</v>
      </c>
      <c r="L14" s="16">
        <f>D15*F14</f>
        <v>7.7097557916288003E-3</v>
      </c>
      <c r="M14" s="16">
        <f>D15*G14</f>
        <v>1.23758178171264E-2</v>
      </c>
    </row>
    <row r="15" spans="4:19" x14ac:dyDescent="0.35">
      <c r="D15" s="16">
        <v>2.3377064256000002E-2</v>
      </c>
      <c r="L15" s="16"/>
      <c r="M15" s="16"/>
      <c r="N15" s="16"/>
    </row>
    <row r="17" spans="1:14" x14ac:dyDescent="0.35">
      <c r="E17">
        <v>1</v>
      </c>
      <c r="F17">
        <v>2</v>
      </c>
      <c r="G17">
        <v>3</v>
      </c>
      <c r="K17">
        <v>1</v>
      </c>
      <c r="L17">
        <v>2</v>
      </c>
      <c r="M17">
        <v>3</v>
      </c>
    </row>
    <row r="18" spans="1:14" x14ac:dyDescent="0.35">
      <c r="D18">
        <v>3</v>
      </c>
      <c r="E18" s="16">
        <f>$L$2</f>
        <v>5.9999999999999995E-4</v>
      </c>
      <c r="F18" s="16">
        <f>$M$2</f>
        <v>1.77E-2</v>
      </c>
      <c r="G18" s="16">
        <f>$N$2</f>
        <v>0.98170000000000002</v>
      </c>
      <c r="K18" s="16">
        <f>D19*E18</f>
        <v>1.477860384E-5</v>
      </c>
      <c r="L18" s="16">
        <f>D19*F18</f>
        <v>4.3596881328000005E-4</v>
      </c>
      <c r="M18" s="16">
        <f>D19*G18</f>
        <v>2.4180258982880003E-2</v>
      </c>
    </row>
    <row r="19" spans="1:14" x14ac:dyDescent="0.35">
      <c r="D19" s="16">
        <v>2.4631006400000002E-2</v>
      </c>
    </row>
    <row r="21" spans="1:14" x14ac:dyDescent="0.35">
      <c r="E21">
        <v>1</v>
      </c>
      <c r="F21">
        <v>2</v>
      </c>
      <c r="G21">
        <v>3</v>
      </c>
      <c r="K21">
        <v>1</v>
      </c>
      <c r="L21">
        <v>2</v>
      </c>
      <c r="M21">
        <v>3</v>
      </c>
    </row>
    <row r="22" spans="1:14" x14ac:dyDescent="0.35">
      <c r="D22">
        <v>1</v>
      </c>
      <c r="E22" s="16">
        <f>$F$2</f>
        <v>0.94640000000000002</v>
      </c>
      <c r="F22" s="16">
        <f>$G$2</f>
        <v>2.6100000000000002E-2</v>
      </c>
      <c r="G22" s="16">
        <f>$H$2</f>
        <v>2.75E-2</v>
      </c>
      <c r="K22" s="16">
        <f>D23*E22</f>
        <v>3.2914906472448005E-3</v>
      </c>
      <c r="L22" s="16">
        <f>D23*F22</f>
        <v>9.0773357875200008E-5</v>
      </c>
      <c r="M22" s="16">
        <f>D23*G22</f>
        <v>9.5642426880000007E-5</v>
      </c>
    </row>
    <row r="23" spans="1:14" x14ac:dyDescent="0.35">
      <c r="D23" s="16">
        <v>3.4779064320000002E-3</v>
      </c>
      <c r="L23" s="16"/>
      <c r="M23" s="16"/>
      <c r="N23" s="16"/>
    </row>
    <row r="24" spans="1:14" x14ac:dyDescent="0.35">
      <c r="A24" t="s">
        <v>18</v>
      </c>
    </row>
    <row r="25" spans="1:14" x14ac:dyDescent="0.35">
      <c r="E25">
        <v>1</v>
      </c>
      <c r="F25">
        <v>2</v>
      </c>
      <c r="G25">
        <v>3</v>
      </c>
      <c r="K25">
        <v>1</v>
      </c>
      <c r="L25">
        <v>2</v>
      </c>
      <c r="M25">
        <v>3</v>
      </c>
    </row>
    <row r="26" spans="1:14" x14ac:dyDescent="0.35">
      <c r="D26">
        <v>2</v>
      </c>
      <c r="E26" s="16">
        <f>$I$2</f>
        <v>0.14080000000000001</v>
      </c>
      <c r="F26" s="16">
        <f>$J$2</f>
        <v>0.32979999999999998</v>
      </c>
      <c r="G26" s="16">
        <f>$K$2</f>
        <v>0.52939999999999998</v>
      </c>
      <c r="K26" s="16">
        <f>D27*E26</f>
        <v>1.1470135412736001E-3</v>
      </c>
      <c r="L26" s="16">
        <f>D27*F26</f>
        <v>2.6866837067615998E-3</v>
      </c>
      <c r="M26" s="16">
        <f>D27*G26</f>
        <v>4.3127057439647995E-3</v>
      </c>
    </row>
    <row r="27" spans="1:14" x14ac:dyDescent="0.35">
      <c r="D27" s="16">
        <v>8.146402992E-3</v>
      </c>
    </row>
    <row r="29" spans="1:14" x14ac:dyDescent="0.35">
      <c r="E29">
        <v>1</v>
      </c>
      <c r="F29">
        <v>2</v>
      </c>
      <c r="G29">
        <v>3</v>
      </c>
      <c r="K29">
        <v>1</v>
      </c>
      <c r="L29">
        <v>2</v>
      </c>
      <c r="M29">
        <v>3</v>
      </c>
    </row>
    <row r="30" spans="1:14" x14ac:dyDescent="0.35">
      <c r="D30">
        <v>3</v>
      </c>
      <c r="E30" s="16">
        <f>$L$2</f>
        <v>5.9999999999999995E-4</v>
      </c>
      <c r="F30" s="16">
        <f>$M$2</f>
        <v>1.77E-2</v>
      </c>
      <c r="G30" s="16">
        <f>$N$2</f>
        <v>0.98170000000000002</v>
      </c>
      <c r="K30" s="16">
        <f>D31*E30</f>
        <v>7.8460383455999996E-6</v>
      </c>
      <c r="L30" s="16">
        <f>D31*F30</f>
        <v>2.314581311952E-4</v>
      </c>
      <c r="M30" s="16">
        <f>D31*G30</f>
        <v>1.28374264064592E-2</v>
      </c>
    </row>
    <row r="31" spans="1:14" x14ac:dyDescent="0.35">
      <c r="D31" s="16">
        <v>1.3076730575999999E-2</v>
      </c>
    </row>
    <row r="33" spans="4:14" x14ac:dyDescent="0.35">
      <c r="E33">
        <v>1</v>
      </c>
      <c r="F33">
        <v>2</v>
      </c>
      <c r="G33">
        <v>3</v>
      </c>
      <c r="K33">
        <v>1</v>
      </c>
      <c r="L33">
        <v>2</v>
      </c>
      <c r="M33">
        <v>3</v>
      </c>
      <c r="N33" s="16"/>
    </row>
    <row r="34" spans="4:14" x14ac:dyDescent="0.35">
      <c r="D34">
        <v>1</v>
      </c>
      <c r="E34" s="16">
        <f>$F$2</f>
        <v>0.94640000000000002</v>
      </c>
      <c r="F34" s="16">
        <f>$G$2</f>
        <v>2.6100000000000002E-2</v>
      </c>
      <c r="G34" s="16">
        <f>$H$2</f>
        <v>2.75E-2</v>
      </c>
      <c r="K34" s="16">
        <f>D35*E34</f>
        <v>1.477860384E-5</v>
      </c>
      <c r="L34" s="16">
        <f>D35*F34</f>
        <v>4.0756716000000001E-7</v>
      </c>
      <c r="M34" s="16">
        <f>D35*G34</f>
        <v>4.2942900000000003E-7</v>
      </c>
      <c r="N34" s="16"/>
    </row>
    <row r="35" spans="4:14" x14ac:dyDescent="0.35">
      <c r="D35" s="16">
        <v>1.56156E-5</v>
      </c>
    </row>
    <row r="36" spans="4:14" x14ac:dyDescent="0.35">
      <c r="L36" s="16"/>
      <c r="M36" s="16"/>
      <c r="N36" s="16"/>
    </row>
    <row r="37" spans="4:14" x14ac:dyDescent="0.35">
      <c r="E37">
        <v>1</v>
      </c>
      <c r="F37">
        <v>2</v>
      </c>
      <c r="G37">
        <v>3</v>
      </c>
      <c r="K37">
        <v>1</v>
      </c>
      <c r="L37">
        <v>2</v>
      </c>
      <c r="M37">
        <v>3</v>
      </c>
    </row>
    <row r="38" spans="4:14" x14ac:dyDescent="0.35">
      <c r="D38">
        <v>2</v>
      </c>
      <c r="E38" s="16">
        <f>$I$2</f>
        <v>0.14080000000000001</v>
      </c>
      <c r="F38" s="16">
        <f>$J$2</f>
        <v>0.32979999999999998</v>
      </c>
      <c r="G38" s="16">
        <f>$K$2</f>
        <v>0.52939999999999998</v>
      </c>
      <c r="K38" s="16">
        <f>D39*E38</f>
        <v>6.4860956160000012E-5</v>
      </c>
      <c r="L38" s="16">
        <f>D39*F38</f>
        <v>1.5192573396E-4</v>
      </c>
      <c r="M38" s="16">
        <f>D39*G38</f>
        <v>2.4387350987999998E-4</v>
      </c>
    </row>
    <row r="39" spans="4:14" x14ac:dyDescent="0.35">
      <c r="D39" s="16">
        <v>4.6066020000000001E-4</v>
      </c>
    </row>
    <row r="41" spans="4:14" x14ac:dyDescent="0.35">
      <c r="E41">
        <v>1</v>
      </c>
      <c r="F41">
        <v>2</v>
      </c>
      <c r="G41">
        <v>3</v>
      </c>
      <c r="K41">
        <v>1</v>
      </c>
      <c r="L41">
        <v>2</v>
      </c>
      <c r="M41">
        <v>3</v>
      </c>
    </row>
    <row r="42" spans="4:14" x14ac:dyDescent="0.35">
      <c r="D42">
        <v>3</v>
      </c>
      <c r="E42" s="16">
        <f>$L$2</f>
        <v>5.9999999999999995E-4</v>
      </c>
      <c r="F42" s="16">
        <f>$M$2</f>
        <v>1.77E-2</v>
      </c>
      <c r="G42" s="16">
        <f>$N$2</f>
        <v>0.98170000000000002</v>
      </c>
      <c r="K42" s="16">
        <f>D43*E42</f>
        <v>1.5329834520000001E-5</v>
      </c>
      <c r="L42" s="16">
        <f>D43*F42</f>
        <v>4.5223011834000004E-4</v>
      </c>
      <c r="M42" s="16">
        <f>D43*G42</f>
        <v>2.5082164247140003E-2</v>
      </c>
    </row>
    <row r="43" spans="4:14" x14ac:dyDescent="0.35">
      <c r="D43" s="16">
        <v>2.5549724200000002E-2</v>
      </c>
    </row>
    <row r="45" spans="4:14" x14ac:dyDescent="0.35">
      <c r="E45">
        <v>1</v>
      </c>
      <c r="F45">
        <v>2</v>
      </c>
      <c r="G45">
        <v>3</v>
      </c>
      <c r="K45">
        <v>1</v>
      </c>
      <c r="L45">
        <v>2</v>
      </c>
      <c r="M45">
        <v>3</v>
      </c>
    </row>
    <row r="46" spans="4:14" x14ac:dyDescent="0.35">
      <c r="D46">
        <v>1</v>
      </c>
      <c r="E46" s="16">
        <f>$F$2</f>
        <v>0.94640000000000002</v>
      </c>
      <c r="F46" s="16">
        <f>$G$2</f>
        <v>2.6100000000000002E-2</v>
      </c>
      <c r="G46" s="16">
        <f>$H$2</f>
        <v>2.75E-2</v>
      </c>
      <c r="K46" s="16">
        <f>D47*E46</f>
        <v>3.2914906472448005E-3</v>
      </c>
      <c r="L46" s="16">
        <f>D47*F46</f>
        <v>9.0773357875200021E-5</v>
      </c>
      <c r="M46" s="16">
        <f>D47*G46</f>
        <v>9.5642426880000021E-5</v>
      </c>
    </row>
    <row r="47" spans="4:14" x14ac:dyDescent="0.35">
      <c r="D47" s="16">
        <v>3.4779064320000007E-3</v>
      </c>
    </row>
    <row r="49" spans="4:13" x14ac:dyDescent="0.35">
      <c r="E49">
        <v>1</v>
      </c>
      <c r="F49">
        <v>2</v>
      </c>
      <c r="G49">
        <v>3</v>
      </c>
      <c r="K49">
        <v>1</v>
      </c>
      <c r="L49">
        <v>2</v>
      </c>
      <c r="M49">
        <v>3</v>
      </c>
    </row>
    <row r="50" spans="4:13" x14ac:dyDescent="0.35">
      <c r="D50">
        <v>2</v>
      </c>
      <c r="E50" s="16">
        <f>$I$2</f>
        <v>0.14080000000000001</v>
      </c>
      <c r="F50" s="16">
        <f>$J$2</f>
        <v>0.32979999999999998</v>
      </c>
      <c r="G50" s="16">
        <f>$K$2</f>
        <v>0.52939999999999998</v>
      </c>
      <c r="K50" s="16">
        <f>D51*E50</f>
        <v>1.3504743014400005E-5</v>
      </c>
      <c r="L50" s="16">
        <f>D51*F50</f>
        <v>3.1632558566400006E-5</v>
      </c>
      <c r="M50" s="16">
        <f>D51*G50</f>
        <v>5.0777066419200013E-5</v>
      </c>
    </row>
    <row r="51" spans="4:13" x14ac:dyDescent="0.35">
      <c r="D51" s="16">
        <v>9.5914368000000024E-5</v>
      </c>
    </row>
    <row r="53" spans="4:13" x14ac:dyDescent="0.35">
      <c r="E53">
        <v>1</v>
      </c>
      <c r="F53">
        <v>2</v>
      </c>
      <c r="G53">
        <v>3</v>
      </c>
      <c r="K53">
        <v>1</v>
      </c>
      <c r="L53">
        <v>2</v>
      </c>
      <c r="M53">
        <v>3</v>
      </c>
    </row>
    <row r="54" spans="4:13" x14ac:dyDescent="0.35">
      <c r="D54">
        <v>3</v>
      </c>
      <c r="E54" s="16">
        <f>$L$2</f>
        <v>5.9999999999999995E-4</v>
      </c>
      <c r="F54" s="16">
        <f>$M$2</f>
        <v>1.77E-2</v>
      </c>
      <c r="G54" s="16">
        <f>$N$2</f>
        <v>0.98170000000000002</v>
      </c>
      <c r="K54" s="16">
        <f>D55*E54</f>
        <v>6.0635520000000007E-8</v>
      </c>
      <c r="L54" s="16">
        <f>D55*F54</f>
        <v>1.7887478400000004E-6</v>
      </c>
      <c r="M54" s="16">
        <f>D55*G54</f>
        <v>9.9209816640000027E-5</v>
      </c>
    </row>
    <row r="55" spans="4:13" x14ac:dyDescent="0.35">
      <c r="D55" s="16">
        <v>1.0105920000000002E-4</v>
      </c>
    </row>
    <row r="57" spans="4:13" x14ac:dyDescent="0.35">
      <c r="E57">
        <v>1</v>
      </c>
      <c r="F57">
        <v>2</v>
      </c>
      <c r="G57">
        <v>3</v>
      </c>
      <c r="K57">
        <v>1</v>
      </c>
      <c r="L57">
        <v>2</v>
      </c>
      <c r="M57">
        <v>3</v>
      </c>
    </row>
    <row r="58" spans="4:13" x14ac:dyDescent="0.35">
      <c r="D58">
        <v>1</v>
      </c>
      <c r="E58" s="16">
        <f>$F$2</f>
        <v>0.94640000000000002</v>
      </c>
      <c r="F58" s="16">
        <f>$G$2</f>
        <v>2.6100000000000002E-2</v>
      </c>
      <c r="G58" s="16">
        <f>$H$2</f>
        <v>2.75E-2</v>
      </c>
      <c r="K58" s="16">
        <f>D59*E58</f>
        <v>1.1470135412736003E-3</v>
      </c>
      <c r="L58" s="16">
        <f>D59*F58</f>
        <v>3.1632558566400006E-5</v>
      </c>
      <c r="M58" s="16">
        <f>D59*G58</f>
        <v>3.3329324160000002E-5</v>
      </c>
    </row>
    <row r="59" spans="4:13" x14ac:dyDescent="0.35">
      <c r="D59" s="16">
        <v>1.2119754240000002E-3</v>
      </c>
    </row>
    <row r="61" spans="4:13" x14ac:dyDescent="0.35">
      <c r="E61">
        <v>1</v>
      </c>
      <c r="F61">
        <v>2</v>
      </c>
      <c r="G61">
        <v>3</v>
      </c>
      <c r="K61">
        <v>1</v>
      </c>
      <c r="L61">
        <v>2</v>
      </c>
      <c r="M61">
        <v>3</v>
      </c>
    </row>
    <row r="62" spans="4:13" x14ac:dyDescent="0.35">
      <c r="D62">
        <v>2</v>
      </c>
      <c r="E62" s="16">
        <f>$I$2</f>
        <v>0.14080000000000001</v>
      </c>
      <c r="F62" s="16">
        <f>$J$2</f>
        <v>0.32979999999999998</v>
      </c>
      <c r="G62" s="16">
        <f>$K$2</f>
        <v>0.52939999999999998</v>
      </c>
      <c r="K62" s="16">
        <f>D63*E62</f>
        <v>3.9970949483520004E-4</v>
      </c>
      <c r="L62" s="16">
        <f>D63*F62</f>
        <v>9.3625135935119998E-4</v>
      </c>
      <c r="M62" s="16">
        <f>D63*G62</f>
        <v>1.5028849898135999E-3</v>
      </c>
    </row>
    <row r="63" spans="4:13" x14ac:dyDescent="0.35">
      <c r="D63" s="16">
        <v>2.8388458440000001E-3</v>
      </c>
    </row>
    <row r="65" spans="4:13" x14ac:dyDescent="0.35">
      <c r="E65">
        <v>1</v>
      </c>
      <c r="F65">
        <v>2</v>
      </c>
      <c r="G65">
        <v>3</v>
      </c>
      <c r="K65">
        <v>1</v>
      </c>
      <c r="L65">
        <v>2</v>
      </c>
      <c r="M65">
        <v>3</v>
      </c>
    </row>
    <row r="66" spans="4:13" x14ac:dyDescent="0.35">
      <c r="D66">
        <v>3</v>
      </c>
      <c r="E66" s="16">
        <f>$L$2</f>
        <v>5.9999999999999995E-4</v>
      </c>
      <c r="F66" s="16">
        <f>$M$2</f>
        <v>1.77E-2</v>
      </c>
      <c r="G66" s="16">
        <f>$N$2</f>
        <v>0.98170000000000002</v>
      </c>
      <c r="K66" s="16">
        <f>D67*E66</f>
        <v>2.7341752391999998E-6</v>
      </c>
      <c r="L66" s="16">
        <f>D67*F66</f>
        <v>8.0658169556400007E-5</v>
      </c>
      <c r="M66" s="16">
        <f>D67*G66</f>
        <v>4.4735663872044005E-3</v>
      </c>
    </row>
    <row r="67" spans="4:13" x14ac:dyDescent="0.35">
      <c r="D67" s="16">
        <v>4.5569587320000004E-3</v>
      </c>
    </row>
    <row r="69" spans="4:13" x14ac:dyDescent="0.35">
      <c r="E69">
        <v>1</v>
      </c>
      <c r="F69">
        <v>2</v>
      </c>
      <c r="G69">
        <v>3</v>
      </c>
      <c r="K69">
        <v>1</v>
      </c>
      <c r="L69">
        <v>2</v>
      </c>
      <c r="M69">
        <v>3</v>
      </c>
    </row>
    <row r="70" spans="4:13" x14ac:dyDescent="0.35">
      <c r="D70">
        <v>1</v>
      </c>
      <c r="E70" s="16">
        <f>$F$2</f>
        <v>0.94640000000000002</v>
      </c>
      <c r="F70" s="16">
        <f>$G$2</f>
        <v>2.6100000000000002E-2</v>
      </c>
      <c r="G70" s="16">
        <f>$H$2</f>
        <v>2.75E-2</v>
      </c>
      <c r="K70" s="16">
        <f>D71*E70</f>
        <v>7.8460383456000013E-6</v>
      </c>
      <c r="L70" s="16">
        <f>D71*F70</f>
        <v>2.1637954440000003E-7</v>
      </c>
      <c r="M70" s="16">
        <f>D71*G70</f>
        <v>2.2798611000000002E-7</v>
      </c>
    </row>
    <row r="71" spans="4:13" x14ac:dyDescent="0.35">
      <c r="D71" s="16">
        <v>8.2904040000000004E-6</v>
      </c>
    </row>
    <row r="73" spans="4:13" x14ac:dyDescent="0.35">
      <c r="E73">
        <v>1</v>
      </c>
      <c r="F73">
        <v>2</v>
      </c>
      <c r="G73">
        <v>3</v>
      </c>
      <c r="K73">
        <v>1</v>
      </c>
      <c r="L73">
        <v>2</v>
      </c>
      <c r="M73">
        <v>3</v>
      </c>
    </row>
    <row r="74" spans="4:13" x14ac:dyDescent="0.35">
      <c r="D74">
        <v>2</v>
      </c>
      <c r="E74" s="16">
        <f>$I$2</f>
        <v>0.14080000000000001</v>
      </c>
      <c r="F74" s="16">
        <f>$J$2</f>
        <v>0.32979999999999998</v>
      </c>
      <c r="G74" s="16">
        <f>$K$2</f>
        <v>0.52939999999999998</v>
      </c>
      <c r="K74" s="16">
        <f>D75*E74</f>
        <v>3.4435022054400005E-5</v>
      </c>
      <c r="L74" s="16">
        <f>D75*F74</f>
        <v>8.0658169556399993E-5</v>
      </c>
      <c r="M74" s="16">
        <f>D75*G74</f>
        <v>1.294737263892E-4</v>
      </c>
    </row>
    <row r="75" spans="4:13" x14ac:dyDescent="0.35">
      <c r="D75" s="16">
        <v>2.4456691800000001E-4</v>
      </c>
    </row>
    <row r="77" spans="4:13" x14ac:dyDescent="0.35">
      <c r="E77">
        <v>1</v>
      </c>
      <c r="F77">
        <v>2</v>
      </c>
      <c r="G77">
        <v>3</v>
      </c>
      <c r="K77">
        <v>1</v>
      </c>
      <c r="L77">
        <v>2</v>
      </c>
      <c r="M77">
        <v>3</v>
      </c>
    </row>
    <row r="78" spans="4:13" x14ac:dyDescent="0.35">
      <c r="D78">
        <v>3</v>
      </c>
      <c r="E78" s="16">
        <f>$L$2</f>
        <v>5.9999999999999995E-4</v>
      </c>
      <c r="F78" s="16">
        <f>$M$2</f>
        <v>1.77E-2</v>
      </c>
      <c r="G78" s="16">
        <f>$N$2</f>
        <v>0.98170000000000002</v>
      </c>
      <c r="K78" s="16">
        <f>D79*E78</f>
        <v>8.1386896067999992E-6</v>
      </c>
      <c r="L78" s="16">
        <f>D79*F78</f>
        <v>2.4009134340060003E-4</v>
      </c>
      <c r="M78" s="16">
        <f>D79*G78</f>
        <v>1.3316252644992602E-2</v>
      </c>
    </row>
    <row r="79" spans="4:13" x14ac:dyDescent="0.35">
      <c r="D79" s="16">
        <v>1.3564482678000001E-2</v>
      </c>
    </row>
    <row r="81" spans="4:14" x14ac:dyDescent="0.35">
      <c r="E81">
        <v>1</v>
      </c>
      <c r="F81">
        <v>2</v>
      </c>
      <c r="G81">
        <v>3</v>
      </c>
      <c r="K81">
        <v>1</v>
      </c>
      <c r="L81">
        <v>2</v>
      </c>
      <c r="M81">
        <v>3</v>
      </c>
    </row>
    <row r="82" spans="4:14" x14ac:dyDescent="0.35">
      <c r="D82">
        <v>1</v>
      </c>
      <c r="E82" s="16">
        <f>$F$2</f>
        <v>0.94640000000000002</v>
      </c>
      <c r="F82" s="16">
        <f>$G$2</f>
        <v>2.6100000000000002E-2</v>
      </c>
      <c r="G82" s="16">
        <f>$H$2</f>
        <v>2.75E-2</v>
      </c>
      <c r="K82" s="16">
        <f>D83*E82</f>
        <v>1.4778603839999996E-5</v>
      </c>
      <c r="L82" s="16">
        <f>D83*F82</f>
        <v>4.0756715999999996E-7</v>
      </c>
      <c r="M82" s="16">
        <f>D83*G82</f>
        <v>4.2942899999999992E-7</v>
      </c>
    </row>
    <row r="83" spans="4:14" x14ac:dyDescent="0.35">
      <c r="D83" s="16">
        <v>1.5615599999999997E-5</v>
      </c>
    </row>
    <row r="85" spans="4:14" x14ac:dyDescent="0.35">
      <c r="E85">
        <v>1</v>
      </c>
      <c r="F85">
        <v>2</v>
      </c>
      <c r="G85">
        <v>3</v>
      </c>
      <c r="K85">
        <v>1</v>
      </c>
      <c r="L85">
        <v>2</v>
      </c>
      <c r="M85">
        <v>3</v>
      </c>
    </row>
    <row r="86" spans="4:14" x14ac:dyDescent="0.35">
      <c r="D86">
        <v>2</v>
      </c>
      <c r="E86" s="16">
        <f>$I$2</f>
        <v>0.14080000000000001</v>
      </c>
      <c r="F86" s="16">
        <f>$J$2</f>
        <v>0.32979999999999998</v>
      </c>
      <c r="G86" s="16">
        <f>$K$2</f>
        <v>0.52939999999999998</v>
      </c>
      <c r="K86" s="16">
        <f>D87*E86</f>
        <v>6.0635519999999994E-8</v>
      </c>
      <c r="L86" s="16">
        <f>D87*F86</f>
        <v>1.4202836999999997E-7</v>
      </c>
      <c r="M86" s="16">
        <f>D87*G86</f>
        <v>2.2798610999999996E-7</v>
      </c>
    </row>
    <row r="87" spans="4:14" x14ac:dyDescent="0.35">
      <c r="D87" s="16">
        <v>4.3064999999999996E-7</v>
      </c>
    </row>
    <row r="89" spans="4:14" x14ac:dyDescent="0.35">
      <c r="E89">
        <v>1</v>
      </c>
      <c r="F89">
        <v>2</v>
      </c>
      <c r="G89">
        <v>3</v>
      </c>
      <c r="K89">
        <v>1</v>
      </c>
      <c r="L89">
        <v>2</v>
      </c>
      <c r="M89">
        <v>3</v>
      </c>
      <c r="N89" s="16"/>
    </row>
    <row r="90" spans="4:14" x14ac:dyDescent="0.35">
      <c r="D90">
        <v>3</v>
      </c>
      <c r="E90" s="16">
        <f>$L$2</f>
        <v>5.9999999999999995E-4</v>
      </c>
      <c r="F90" s="16">
        <f>$M$2</f>
        <v>1.77E-2</v>
      </c>
      <c r="G90" s="16">
        <f>$N$2</f>
        <v>0.98170000000000002</v>
      </c>
      <c r="K90" s="16">
        <f>D91*E90</f>
        <v>2.7224999999999996E-10</v>
      </c>
      <c r="L90" s="16">
        <f>D91*F90</f>
        <v>8.0313749999999997E-9</v>
      </c>
      <c r="M90" s="16">
        <f>D91*G90</f>
        <v>4.4544637499999993E-7</v>
      </c>
    </row>
    <row r="91" spans="4:14" x14ac:dyDescent="0.35">
      <c r="D91" s="16">
        <v>4.5374999999999994E-7</v>
      </c>
    </row>
    <row r="93" spans="4:14" x14ac:dyDescent="0.35">
      <c r="E93">
        <v>1</v>
      </c>
      <c r="F93">
        <v>2</v>
      </c>
      <c r="G93">
        <v>3</v>
      </c>
      <c r="K93">
        <v>1</v>
      </c>
      <c r="L93">
        <v>2</v>
      </c>
      <c r="M93">
        <v>3</v>
      </c>
    </row>
    <row r="94" spans="4:14" x14ac:dyDescent="0.35">
      <c r="D94">
        <v>1</v>
      </c>
      <c r="E94" s="16">
        <f>$F$2</f>
        <v>0.94640000000000002</v>
      </c>
      <c r="F94" s="16">
        <f>$G$2</f>
        <v>2.6100000000000002E-2</v>
      </c>
      <c r="G94" s="16">
        <f>$H$2</f>
        <v>2.75E-2</v>
      </c>
      <c r="K94" s="16">
        <f>D95*E94</f>
        <v>6.4860956160000012E-5</v>
      </c>
      <c r="L94" s="16">
        <f>D95*F94</f>
        <v>1.7887478400000002E-6</v>
      </c>
      <c r="M94" s="16">
        <f>D95*G94</f>
        <v>1.8846960000000002E-6</v>
      </c>
    </row>
    <row r="95" spans="4:14" x14ac:dyDescent="0.35">
      <c r="D95" s="16">
        <v>6.8534400000000006E-5</v>
      </c>
    </row>
    <row r="97" spans="4:13" x14ac:dyDescent="0.35">
      <c r="E97">
        <v>1</v>
      </c>
      <c r="F97">
        <v>2</v>
      </c>
      <c r="G97">
        <v>3</v>
      </c>
      <c r="K97">
        <v>1</v>
      </c>
      <c r="L97">
        <v>2</v>
      </c>
      <c r="M97">
        <v>3</v>
      </c>
    </row>
    <row r="98" spans="4:13" x14ac:dyDescent="0.35">
      <c r="D98">
        <v>2</v>
      </c>
      <c r="E98" s="16">
        <f>$I$2</f>
        <v>0.14080000000000001</v>
      </c>
      <c r="F98" s="16">
        <f>$J$2</f>
        <v>0.32979999999999998</v>
      </c>
      <c r="G98" s="16">
        <f>$K$2</f>
        <v>0.52939999999999998</v>
      </c>
      <c r="K98" s="16">
        <f>D99*E98</f>
        <v>2.2602645120000004E-5</v>
      </c>
      <c r="L98" s="16">
        <f>D99*F98</f>
        <v>5.2942843469999997E-5</v>
      </c>
      <c r="M98" s="16">
        <f>D99*G98</f>
        <v>8.4984661409999996E-5</v>
      </c>
    </row>
    <row r="99" spans="4:13" x14ac:dyDescent="0.35">
      <c r="D99" s="16">
        <v>1.6053015000000001E-4</v>
      </c>
    </row>
    <row r="101" spans="4:13" x14ac:dyDescent="0.35">
      <c r="E101">
        <v>1</v>
      </c>
      <c r="F101">
        <v>2</v>
      </c>
      <c r="G101">
        <v>3</v>
      </c>
      <c r="K101">
        <v>1</v>
      </c>
      <c r="L101">
        <v>2</v>
      </c>
      <c r="M101">
        <v>3</v>
      </c>
    </row>
    <row r="102" spans="4:13" x14ac:dyDescent="0.35">
      <c r="D102">
        <v>3</v>
      </c>
      <c r="E102" s="16">
        <f>$L$2</f>
        <v>5.9999999999999995E-4</v>
      </c>
      <c r="F102" s="16">
        <f>$M$2</f>
        <v>1.77E-2</v>
      </c>
      <c r="G102" s="16">
        <f>$N$2</f>
        <v>0.98170000000000002</v>
      </c>
      <c r="K102" s="16">
        <f>D103*E102</f>
        <v>1.5461126999999998E-7</v>
      </c>
      <c r="L102" s="16">
        <f>D103*F102</f>
        <v>4.5610324650000004E-6</v>
      </c>
      <c r="M102" s="16">
        <f>D103*G102</f>
        <v>2.5296980626499999E-4</v>
      </c>
    </row>
    <row r="103" spans="4:13" x14ac:dyDescent="0.35">
      <c r="D103" s="16">
        <v>2.5768545E-4</v>
      </c>
    </row>
    <row r="105" spans="4:13" x14ac:dyDescent="0.35">
      <c r="E105">
        <v>1</v>
      </c>
      <c r="F105">
        <v>2</v>
      </c>
      <c r="G105">
        <v>3</v>
      </c>
      <c r="K105">
        <v>1</v>
      </c>
      <c r="L105">
        <v>2</v>
      </c>
      <c r="M105">
        <v>3</v>
      </c>
    </row>
    <row r="106" spans="4:13" x14ac:dyDescent="0.35">
      <c r="D106">
        <v>1</v>
      </c>
      <c r="E106" s="16">
        <f>$F$2</f>
        <v>0.94640000000000002</v>
      </c>
      <c r="F106" s="16">
        <f>$G$2</f>
        <v>2.6100000000000002E-2</v>
      </c>
      <c r="G106" s="16">
        <f>$H$2</f>
        <v>2.75E-2</v>
      </c>
      <c r="K106" s="16">
        <f>D107*E106</f>
        <v>1.5329834520000001E-5</v>
      </c>
      <c r="L106" s="16">
        <f>D107*F106</f>
        <v>4.22769105E-7</v>
      </c>
      <c r="M106" s="16">
        <f>D107*G106</f>
        <v>4.4544637499999999E-7</v>
      </c>
    </row>
    <row r="107" spans="4:13" x14ac:dyDescent="0.35">
      <c r="D107" s="16">
        <v>1.619805E-5</v>
      </c>
    </row>
    <row r="109" spans="4:13" x14ac:dyDescent="0.35">
      <c r="E109">
        <v>1</v>
      </c>
      <c r="F109">
        <v>2</v>
      </c>
      <c r="G109">
        <v>3</v>
      </c>
      <c r="K109">
        <v>1</v>
      </c>
      <c r="L109">
        <v>2</v>
      </c>
      <c r="M109">
        <v>3</v>
      </c>
    </row>
    <row r="110" spans="4:13" x14ac:dyDescent="0.35">
      <c r="D110">
        <v>2</v>
      </c>
      <c r="E110" s="16">
        <f>$I$2</f>
        <v>0.14080000000000001</v>
      </c>
      <c r="F110" s="16">
        <f>$J$2</f>
        <v>0.32979999999999998</v>
      </c>
      <c r="G110" s="16">
        <f>$K$2</f>
        <v>0.52939999999999998</v>
      </c>
      <c r="K110" s="16">
        <f>D111*E110</f>
        <v>6.7280220480000013E-5</v>
      </c>
      <c r="L110" s="16">
        <f>D111*F110</f>
        <v>1.57592448255E-4</v>
      </c>
      <c r="M110" s="16">
        <f>D111*G110</f>
        <v>2.5296980626499999E-4</v>
      </c>
    </row>
    <row r="111" spans="4:13" x14ac:dyDescent="0.35">
      <c r="D111" s="16">
        <v>4.7784247500000002E-4</v>
      </c>
    </row>
    <row r="113" spans="4:13" x14ac:dyDescent="0.35">
      <c r="E113">
        <v>1</v>
      </c>
      <c r="F113">
        <v>2</v>
      </c>
      <c r="G113">
        <v>3</v>
      </c>
      <c r="K113">
        <v>1</v>
      </c>
      <c r="L113">
        <v>2</v>
      </c>
      <c r="M113">
        <v>3</v>
      </c>
    </row>
    <row r="114" spans="4:13" x14ac:dyDescent="0.35">
      <c r="D114">
        <v>3</v>
      </c>
      <c r="E114" s="16">
        <f>$L$2</f>
        <v>5.9999999999999995E-4</v>
      </c>
      <c r="F114" s="16">
        <f>$M$2</f>
        <v>1.77E-2</v>
      </c>
      <c r="G114" s="16">
        <f>$N$2</f>
        <v>0.98170000000000002</v>
      </c>
      <c r="K114" s="16">
        <f>D115*E114</f>
        <v>1.5901625684999999E-5</v>
      </c>
      <c r="L114" s="16">
        <f>D115*F114</f>
        <v>4.6909795770750003E-4</v>
      </c>
      <c r="M114" s="16">
        <f>D115*G114</f>
        <v>2.60177098916075E-2</v>
      </c>
    </row>
    <row r="115" spans="4:13" x14ac:dyDescent="0.35">
      <c r="D115" s="16">
        <v>2.6502709475E-2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C16C-5BB9-4125-B2CD-483B9BBCA6D6}">
  <dimension ref="A1:U336"/>
  <sheetViews>
    <sheetView topLeftCell="D1" zoomScale="70" zoomScaleNormal="70" workbookViewId="0">
      <selection activeCell="G337" sqref="G337"/>
    </sheetView>
  </sheetViews>
  <sheetFormatPr defaultRowHeight="14.5" x14ac:dyDescent="0.35"/>
  <sheetData>
    <row r="1" spans="4:21" ht="15" thickBot="1" x14ac:dyDescent="0.4"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4:21" x14ac:dyDescent="0.35"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13" spans="4:21" x14ac:dyDescent="0.35">
      <c r="R13" s="18">
        <v>1</v>
      </c>
      <c r="S13" s="18">
        <v>2</v>
      </c>
      <c r="T13" s="18">
        <v>3</v>
      </c>
      <c r="U13" s="18" t="s">
        <v>15</v>
      </c>
    </row>
    <row r="14" spans="4:21" x14ac:dyDescent="0.35">
      <c r="E14">
        <v>1</v>
      </c>
      <c r="F14">
        <v>2</v>
      </c>
      <c r="G14">
        <v>3</v>
      </c>
      <c r="K14">
        <v>1</v>
      </c>
      <c r="L14">
        <v>2</v>
      </c>
      <c r="M14">
        <v>3</v>
      </c>
      <c r="R14" s="16">
        <f>K15+K19+K23+K27+K31+K35+K39+K43+K47+K51+K55+K59+K63+K67+K71+K75+K79+K83+K87+K91+K95+K99+K103+K107+K111+K115+K119+K123+K127+K131+K135+K139+K143+K147+K151+K155+K159+K163+K167+K171+K175+K179+K183+K187+K191+K195+K199+K203+K207+K211+K215+K219+K223+K227+K231+K235+K239+K243+K247+K251+K255+K259+K263+K267+K271+K275+K279+K283+K287+K291+K295+K299+K303+K307+K311+K315+K319+K323+K327+K331+K335</f>
        <v>0.77665675652483546</v>
      </c>
      <c r="S14" s="16">
        <f t="shared" ref="S14:T14" si="0">L15+L19+L23+L27+L31+L35+L39+L43+L47+L51+L55+L59+L63+L67+L71+L75+L79+L83+L87+L91+L95+L99+L103+L107+L111+L115+L119+L123+L127+L131+L135+L139+L143+L147+L151+L155+L159+L163+L167+L171+L175+L179+L183+L187+L191+L195+L199+L203+L207+L211+L215+L219+L223+L227+L231+L235+L239+L243+L247+L251+L255+L259+L263+L267+L271+L275+L279+L283+L287+L291+L295+L299+L303+L307+L311+L315+L319+L323+L327+L331+L335</f>
        <v>3.5803092095073083E-2</v>
      </c>
      <c r="T14" s="16">
        <f t="shared" si="0"/>
        <v>0.18754015138009233</v>
      </c>
      <c r="U14" s="16">
        <f>R14+S14+T14</f>
        <v>1.0000000000000009</v>
      </c>
    </row>
    <row r="15" spans="4:21" x14ac:dyDescent="0.35">
      <c r="D15">
        <v>1</v>
      </c>
      <c r="E15" s="16">
        <f>$F$2</f>
        <v>0.94640000000000002</v>
      </c>
      <c r="F15" s="16">
        <f>$G$2</f>
        <v>2.6100000000000002E-2</v>
      </c>
      <c r="G15" s="16">
        <f>$H$2</f>
        <v>2.75E-2</v>
      </c>
      <c r="K15" s="16">
        <f>D16*E15</f>
        <v>0.75923052052681306</v>
      </c>
      <c r="L15" s="16">
        <f>D16*F15</f>
        <v>2.0938204338281721E-2</v>
      </c>
      <c r="M15" s="16">
        <f>D16*G15</f>
        <v>2.2061326410066945E-2</v>
      </c>
    </row>
    <row r="16" spans="4:21" x14ac:dyDescent="0.35">
      <c r="D16" s="16">
        <v>0.80223005127516167</v>
      </c>
    </row>
    <row r="18" spans="1:18" x14ac:dyDescent="0.35">
      <c r="E18">
        <v>1</v>
      </c>
      <c r="F18">
        <v>2</v>
      </c>
      <c r="G18">
        <v>3</v>
      </c>
      <c r="K18">
        <v>1</v>
      </c>
      <c r="L18">
        <v>2</v>
      </c>
      <c r="M18">
        <v>3</v>
      </c>
    </row>
    <row r="19" spans="1:18" x14ac:dyDescent="0.35">
      <c r="D19">
        <v>2</v>
      </c>
      <c r="E19" s="16">
        <f>$I$2</f>
        <v>0.14080000000000001</v>
      </c>
      <c r="F19" s="16">
        <f>$J$2</f>
        <v>0.32979999999999998</v>
      </c>
      <c r="G19" s="16">
        <f>$K$2</f>
        <v>0.52939999999999998</v>
      </c>
      <c r="K19" s="16">
        <f>D20*E19</f>
        <v>3.1150667485524792E-3</v>
      </c>
      <c r="L19" s="16">
        <f>D20*F19</f>
        <v>7.2965128811974967E-3</v>
      </c>
      <c r="M19" s="16">
        <f>D20*G19</f>
        <v>1.1712473982128426E-2</v>
      </c>
    </row>
    <row r="20" spans="1:18" x14ac:dyDescent="0.35">
      <c r="D20" s="16">
        <v>2.2124053611878403E-2</v>
      </c>
    </row>
    <row r="22" spans="1:18" x14ac:dyDescent="0.35">
      <c r="E22">
        <v>1</v>
      </c>
      <c r="F22">
        <v>2</v>
      </c>
      <c r="G22">
        <v>3</v>
      </c>
      <c r="K22">
        <v>1</v>
      </c>
      <c r="L22">
        <v>2</v>
      </c>
      <c r="M22">
        <v>3</v>
      </c>
    </row>
    <row r="23" spans="1:18" x14ac:dyDescent="0.35">
      <c r="D23">
        <v>3</v>
      </c>
      <c r="E23" s="16">
        <f>$L$2</f>
        <v>5.9999999999999995E-4</v>
      </c>
      <c r="F23" s="16">
        <f>$M$2</f>
        <v>1.77E-2</v>
      </c>
      <c r="G23" s="16">
        <f>$N$2</f>
        <v>0.98170000000000002</v>
      </c>
      <c r="K23" s="16">
        <f>D24*E23</f>
        <v>1.3986470674176E-5</v>
      </c>
      <c r="L23" s="16">
        <f>D24*F23</f>
        <v>4.1260088488819207E-4</v>
      </c>
      <c r="M23" s="16">
        <f>D24*G23</f>
        <v>2.2884197101397635E-2</v>
      </c>
    </row>
    <row r="24" spans="1:18" x14ac:dyDescent="0.35">
      <c r="D24" s="16">
        <v>2.3310784456960002E-2</v>
      </c>
    </row>
    <row r="26" spans="1:18" x14ac:dyDescent="0.35">
      <c r="E26">
        <v>1</v>
      </c>
      <c r="F26">
        <v>2</v>
      </c>
      <c r="G26">
        <v>3</v>
      </c>
      <c r="K26">
        <v>1</v>
      </c>
      <c r="L26">
        <v>2</v>
      </c>
      <c r="M26">
        <v>3</v>
      </c>
    </row>
    <row r="27" spans="1:18" x14ac:dyDescent="0.35">
      <c r="D27">
        <v>1</v>
      </c>
      <c r="E27" s="16">
        <f>$F$2</f>
        <v>0.94640000000000002</v>
      </c>
      <c r="F27" s="16">
        <f>$G$2</f>
        <v>2.6100000000000002E-2</v>
      </c>
      <c r="G27" s="16">
        <f>$H$2</f>
        <v>2.75E-2</v>
      </c>
      <c r="K27" s="16">
        <f>D28*E27</f>
        <v>3.1150667485524792E-3</v>
      </c>
      <c r="L27" s="16">
        <f>D28*F27</f>
        <v>8.5907905893089305E-5</v>
      </c>
      <c r="M27" s="16">
        <f>D28*G27</f>
        <v>9.0515992799232008E-5</v>
      </c>
    </row>
    <row r="28" spans="1:18" x14ac:dyDescent="0.35">
      <c r="D28" s="16">
        <v>3.2914906472448005E-3</v>
      </c>
      <c r="Q28" s="16"/>
      <c r="R28" s="16"/>
    </row>
    <row r="29" spans="1:18" x14ac:dyDescent="0.35">
      <c r="A29" t="s">
        <v>19</v>
      </c>
    </row>
    <row r="30" spans="1:18" x14ac:dyDescent="0.35">
      <c r="E30">
        <v>1</v>
      </c>
      <c r="F30">
        <v>2</v>
      </c>
      <c r="G30">
        <v>3</v>
      </c>
      <c r="K30">
        <v>1</v>
      </c>
      <c r="L30">
        <v>2</v>
      </c>
      <c r="M30">
        <v>3</v>
      </c>
    </row>
    <row r="31" spans="1:18" x14ac:dyDescent="0.35">
      <c r="D31">
        <v>2</v>
      </c>
      <c r="E31" s="16">
        <f>$I$2</f>
        <v>0.14080000000000001</v>
      </c>
      <c r="F31" s="16">
        <f>$J$2</f>
        <v>0.32979999999999998</v>
      </c>
      <c r="G31" s="16">
        <f>$K$2</f>
        <v>0.52939999999999998</v>
      </c>
      <c r="K31" s="16">
        <f>D32*E31</f>
        <v>1.0855336154613352E-3</v>
      </c>
      <c r="L31" s="16">
        <f>D32*F31</f>
        <v>2.542677460079178E-3</v>
      </c>
      <c r="M31" s="16">
        <f>D32*G31</f>
        <v>4.0815447160882871E-3</v>
      </c>
      <c r="Q31" s="16"/>
      <c r="R31" s="16"/>
    </row>
    <row r="32" spans="1:18" x14ac:dyDescent="0.35">
      <c r="D32" s="16">
        <v>7.7097557916288003E-3</v>
      </c>
    </row>
    <row r="34" spans="4:18" x14ac:dyDescent="0.35">
      <c r="E34">
        <v>1</v>
      </c>
      <c r="F34">
        <v>2</v>
      </c>
      <c r="G34">
        <v>3</v>
      </c>
      <c r="K34">
        <v>1</v>
      </c>
      <c r="L34">
        <v>2</v>
      </c>
      <c r="M34">
        <v>3</v>
      </c>
    </row>
    <row r="35" spans="4:18" x14ac:dyDescent="0.35">
      <c r="D35">
        <v>3</v>
      </c>
      <c r="E35" s="16">
        <f>$L$2</f>
        <v>5.9999999999999995E-4</v>
      </c>
      <c r="F35" s="16">
        <f>$M$2</f>
        <v>1.77E-2</v>
      </c>
      <c r="G35" s="16">
        <f>$N$2</f>
        <v>0.98170000000000002</v>
      </c>
      <c r="K35" s="16">
        <f>D36*E35</f>
        <v>7.4254906902758399E-6</v>
      </c>
      <c r="L35" s="16">
        <f>D36*F35</f>
        <v>2.1905197536313729E-4</v>
      </c>
      <c r="M35" s="16">
        <f>D36*G35</f>
        <v>1.2149340351072988E-2</v>
      </c>
    </row>
    <row r="36" spans="4:18" x14ac:dyDescent="0.35">
      <c r="D36" s="16">
        <v>1.23758178171264E-2</v>
      </c>
    </row>
    <row r="38" spans="4:18" x14ac:dyDescent="0.35">
      <c r="E38">
        <v>1</v>
      </c>
      <c r="F38">
        <v>2</v>
      </c>
      <c r="G38">
        <v>3</v>
      </c>
      <c r="K38">
        <v>1</v>
      </c>
      <c r="L38">
        <v>2</v>
      </c>
      <c r="M38">
        <v>3</v>
      </c>
    </row>
    <row r="39" spans="4:18" x14ac:dyDescent="0.35">
      <c r="D39">
        <v>1</v>
      </c>
      <c r="E39" s="16">
        <f>$F$2</f>
        <v>0.94640000000000002</v>
      </c>
      <c r="F39" s="16">
        <f>$G$2</f>
        <v>2.6100000000000002E-2</v>
      </c>
      <c r="G39" s="16">
        <f>$H$2</f>
        <v>2.75E-2</v>
      </c>
      <c r="K39" s="16">
        <f>D40*E39</f>
        <v>1.3986470674176E-5</v>
      </c>
      <c r="L39" s="16">
        <f>D40*F39</f>
        <v>3.8572156022400002E-7</v>
      </c>
      <c r="M39" s="16">
        <f>D40*G39</f>
        <v>4.0641160560000002E-7</v>
      </c>
      <c r="Q39" s="16"/>
      <c r="R39" s="16"/>
    </row>
    <row r="40" spans="4:18" x14ac:dyDescent="0.35">
      <c r="D40" s="16">
        <v>1.477860384E-5</v>
      </c>
    </row>
    <row r="42" spans="4:18" x14ac:dyDescent="0.35">
      <c r="E42">
        <v>1</v>
      </c>
      <c r="F42">
        <v>2</v>
      </c>
      <c r="G42">
        <v>3</v>
      </c>
      <c r="K42">
        <v>1</v>
      </c>
      <c r="L42">
        <v>2</v>
      </c>
      <c r="M42">
        <v>3</v>
      </c>
    </row>
    <row r="43" spans="4:18" x14ac:dyDescent="0.35">
      <c r="D43">
        <v>2</v>
      </c>
      <c r="E43" s="16">
        <f>$I$2</f>
        <v>0.14080000000000001</v>
      </c>
      <c r="F43" s="16">
        <f>$J$2</f>
        <v>0.32979999999999998</v>
      </c>
      <c r="G43" s="16">
        <f>$K$2</f>
        <v>0.52939999999999998</v>
      </c>
      <c r="K43" s="16">
        <f>D44*E43</f>
        <v>6.1384408909824004E-5</v>
      </c>
      <c r="L43" s="16">
        <f>D44*F43</f>
        <v>1.4378251461974402E-4</v>
      </c>
      <c r="M43" s="16">
        <f>D44*G43</f>
        <v>2.3080188975043201E-4</v>
      </c>
    </row>
    <row r="44" spans="4:18" x14ac:dyDescent="0.35">
      <c r="D44" s="16">
        <v>4.3596881328000005E-4</v>
      </c>
    </row>
    <row r="46" spans="4:18" x14ac:dyDescent="0.35">
      <c r="E46">
        <v>1</v>
      </c>
      <c r="F46">
        <v>2</v>
      </c>
      <c r="G46">
        <v>3</v>
      </c>
      <c r="K46">
        <v>1</v>
      </c>
      <c r="L46">
        <v>2</v>
      </c>
      <c r="M46">
        <v>3</v>
      </c>
      <c r="P46" s="16"/>
      <c r="Q46" s="16"/>
      <c r="R46" s="16"/>
    </row>
    <row r="47" spans="4:18" x14ac:dyDescent="0.35">
      <c r="D47">
        <v>3</v>
      </c>
      <c r="E47" s="16">
        <f>$L$2</f>
        <v>5.9999999999999995E-4</v>
      </c>
      <c r="F47" s="16">
        <f>$M$2</f>
        <v>1.77E-2</v>
      </c>
      <c r="G47" s="16">
        <f>$N$2</f>
        <v>0.98170000000000002</v>
      </c>
      <c r="K47" s="16">
        <f>D48*E47</f>
        <v>1.4508155389728E-5</v>
      </c>
      <c r="L47" s="16">
        <f>D48*F47</f>
        <v>4.2799058399697605E-4</v>
      </c>
      <c r="M47" s="16">
        <f>D48*G47</f>
        <v>2.3737760243493299E-2</v>
      </c>
    </row>
    <row r="48" spans="4:18" x14ac:dyDescent="0.35">
      <c r="D48" s="16">
        <v>2.4180258982880003E-2</v>
      </c>
    </row>
    <row r="50" spans="4:18" x14ac:dyDescent="0.35">
      <c r="E50">
        <v>1</v>
      </c>
      <c r="F50">
        <v>2</v>
      </c>
      <c r="G50">
        <v>3</v>
      </c>
      <c r="K50">
        <v>1</v>
      </c>
      <c r="L50">
        <v>2</v>
      </c>
      <c r="M50">
        <v>3</v>
      </c>
    </row>
    <row r="51" spans="4:18" x14ac:dyDescent="0.35">
      <c r="D51">
        <v>1</v>
      </c>
      <c r="E51" s="16">
        <f>$F$2</f>
        <v>0.94640000000000002</v>
      </c>
      <c r="F51" s="16">
        <f>$G$2</f>
        <v>2.6100000000000002E-2</v>
      </c>
      <c r="G51" s="16">
        <f>$H$2</f>
        <v>2.75E-2</v>
      </c>
      <c r="K51" s="16">
        <f>D52*E51</f>
        <v>3.1150667485524792E-3</v>
      </c>
      <c r="L51" s="16">
        <f>D52*F51</f>
        <v>8.5907905893089305E-5</v>
      </c>
      <c r="M51" s="16">
        <f>D52*G51</f>
        <v>9.0515992799232008E-5</v>
      </c>
    </row>
    <row r="52" spans="4:18" x14ac:dyDescent="0.35">
      <c r="D52" s="16">
        <v>3.2914906472448005E-3</v>
      </c>
      <c r="Q52" s="16"/>
      <c r="R52" s="16"/>
    </row>
    <row r="54" spans="4:18" x14ac:dyDescent="0.35">
      <c r="E54">
        <v>1</v>
      </c>
      <c r="F54">
        <v>2</v>
      </c>
      <c r="G54">
        <v>3</v>
      </c>
      <c r="K54">
        <v>1</v>
      </c>
      <c r="L54">
        <v>2</v>
      </c>
      <c r="M54">
        <v>3</v>
      </c>
    </row>
    <row r="55" spans="4:18" x14ac:dyDescent="0.35">
      <c r="D55">
        <v>2</v>
      </c>
      <c r="E55" s="16">
        <f>$I$2</f>
        <v>0.14080000000000001</v>
      </c>
      <c r="F55" s="16">
        <f>$J$2</f>
        <v>0.32979999999999998</v>
      </c>
      <c r="G55" s="16">
        <f>$K$2</f>
        <v>0.52939999999999998</v>
      </c>
      <c r="K55" s="16">
        <f>D56*E55</f>
        <v>1.2780888788828162E-5</v>
      </c>
      <c r="L55" s="16">
        <f>D56*F55</f>
        <v>2.9937053427240962E-5</v>
      </c>
      <c r="M55" s="16">
        <f>D56*G55</f>
        <v>4.805541565913088E-5</v>
      </c>
    </row>
    <row r="56" spans="4:18" x14ac:dyDescent="0.35">
      <c r="D56" s="16">
        <v>9.0773357875200008E-5</v>
      </c>
    </row>
    <row r="58" spans="4:18" x14ac:dyDescent="0.35">
      <c r="E58">
        <v>1</v>
      </c>
      <c r="F58">
        <v>2</v>
      </c>
      <c r="G58">
        <v>3</v>
      </c>
      <c r="K58">
        <v>1</v>
      </c>
      <c r="L58">
        <v>2</v>
      </c>
      <c r="M58">
        <v>3</v>
      </c>
      <c r="Q58" s="16"/>
      <c r="R58" s="16"/>
    </row>
    <row r="59" spans="4:18" x14ac:dyDescent="0.35">
      <c r="D59">
        <v>3</v>
      </c>
      <c r="E59" s="16">
        <f>$L$2</f>
        <v>5.9999999999999995E-4</v>
      </c>
      <c r="F59" s="16">
        <f>$M$2</f>
        <v>1.77E-2</v>
      </c>
      <c r="G59" s="16">
        <f>$N$2</f>
        <v>0.98170000000000002</v>
      </c>
      <c r="K59" s="16">
        <f>D60*E59</f>
        <v>5.7385456128E-8</v>
      </c>
      <c r="L59" s="16">
        <f>D60*F59</f>
        <v>1.6928709557760002E-6</v>
      </c>
      <c r="M59" s="16">
        <f>D60*G59</f>
        <v>9.3892170468096007E-5</v>
      </c>
    </row>
    <row r="60" spans="4:18" x14ac:dyDescent="0.35">
      <c r="D60" s="16">
        <v>9.5642426880000007E-5</v>
      </c>
    </row>
    <row r="62" spans="4:18" x14ac:dyDescent="0.35">
      <c r="E62">
        <v>1</v>
      </c>
      <c r="F62">
        <v>2</v>
      </c>
      <c r="G62">
        <v>3</v>
      </c>
      <c r="K62">
        <v>1</v>
      </c>
      <c r="L62">
        <v>2</v>
      </c>
      <c r="M62">
        <v>3</v>
      </c>
      <c r="P62" s="16"/>
      <c r="Q62" s="16"/>
      <c r="R62" s="16"/>
    </row>
    <row r="63" spans="4:18" x14ac:dyDescent="0.35">
      <c r="D63">
        <v>1</v>
      </c>
      <c r="E63" s="16">
        <f>$F$2</f>
        <v>0.94640000000000002</v>
      </c>
      <c r="F63" s="16">
        <f>$G$2</f>
        <v>2.6100000000000002E-2</v>
      </c>
      <c r="G63" s="16">
        <f>$H$2</f>
        <v>2.75E-2</v>
      </c>
      <c r="K63" s="16">
        <f>D64*E63</f>
        <v>1.0855336154613352E-3</v>
      </c>
      <c r="L63" s="16">
        <f>D64*F63</f>
        <v>2.9937053427240962E-5</v>
      </c>
      <c r="M63" s="16">
        <f>D64*G63</f>
        <v>3.1542872385023999E-5</v>
      </c>
    </row>
    <row r="64" spans="4:18" x14ac:dyDescent="0.35">
      <c r="D64" s="16">
        <v>1.1470135412736001E-3</v>
      </c>
    </row>
    <row r="66" spans="4:18" x14ac:dyDescent="0.35">
      <c r="E66">
        <v>1</v>
      </c>
      <c r="F66">
        <v>2</v>
      </c>
      <c r="G66">
        <v>3</v>
      </c>
      <c r="K66">
        <v>1</v>
      </c>
      <c r="L66">
        <v>2</v>
      </c>
      <c r="M66">
        <v>3</v>
      </c>
      <c r="P66" s="16"/>
      <c r="Q66" s="16"/>
      <c r="R66" s="16"/>
    </row>
    <row r="67" spans="4:18" x14ac:dyDescent="0.35">
      <c r="D67">
        <v>2</v>
      </c>
      <c r="E67" s="16">
        <f>$I$2</f>
        <v>0.14080000000000001</v>
      </c>
      <c r="F67" s="16">
        <f>$J$2</f>
        <v>0.32979999999999998</v>
      </c>
      <c r="G67" s="16">
        <f>$K$2</f>
        <v>0.52939999999999998</v>
      </c>
      <c r="K67" s="16">
        <f>D68*E67</f>
        <v>3.7828506591203328E-4</v>
      </c>
      <c r="L67" s="16">
        <f>D68*F67</f>
        <v>8.8606828648997557E-4</v>
      </c>
      <c r="M67" s="16">
        <f>D68*G67</f>
        <v>1.4223303543595908E-3</v>
      </c>
    </row>
    <row r="68" spans="4:18" x14ac:dyDescent="0.35">
      <c r="D68" s="16">
        <v>2.6866837067615998E-3</v>
      </c>
    </row>
    <row r="70" spans="4:18" x14ac:dyDescent="0.35">
      <c r="E70">
        <v>1</v>
      </c>
      <c r="F70">
        <v>2</v>
      </c>
      <c r="G70">
        <v>3</v>
      </c>
      <c r="K70">
        <v>1</v>
      </c>
      <c r="L70">
        <v>2</v>
      </c>
      <c r="M70">
        <v>3</v>
      </c>
      <c r="P70" s="16"/>
      <c r="Q70" s="16"/>
      <c r="R70" s="16"/>
    </row>
    <row r="71" spans="4:18" x14ac:dyDescent="0.35">
      <c r="D71">
        <v>3</v>
      </c>
      <c r="E71" s="16">
        <f>$L$2</f>
        <v>5.9999999999999995E-4</v>
      </c>
      <c r="F71" s="16">
        <f>$M$2</f>
        <v>1.77E-2</v>
      </c>
      <c r="G71" s="16">
        <f>$N$2</f>
        <v>0.98170000000000002</v>
      </c>
      <c r="K71" s="16">
        <f>D72*E71</f>
        <v>2.5876234463788797E-6</v>
      </c>
      <c r="L71" s="16">
        <f>D72*F71</f>
        <v>7.6334891668176948E-5</v>
      </c>
      <c r="M71" s="16">
        <f>D72*G71</f>
        <v>4.233783228850244E-3</v>
      </c>
    </row>
    <row r="72" spans="4:18" x14ac:dyDescent="0.35">
      <c r="D72" s="16">
        <v>4.3127057439647995E-3</v>
      </c>
    </row>
    <row r="74" spans="4:18" x14ac:dyDescent="0.35">
      <c r="E74">
        <v>1</v>
      </c>
      <c r="F74">
        <v>2</v>
      </c>
      <c r="G74">
        <v>3</v>
      </c>
      <c r="K74">
        <v>1</v>
      </c>
      <c r="L74">
        <v>2</v>
      </c>
      <c r="M74">
        <v>3</v>
      </c>
      <c r="P74" s="16"/>
      <c r="Q74" s="16"/>
      <c r="R74" s="16"/>
    </row>
    <row r="75" spans="4:18" x14ac:dyDescent="0.35">
      <c r="D75">
        <v>1</v>
      </c>
      <c r="E75" s="16">
        <f>$F$2</f>
        <v>0.94640000000000002</v>
      </c>
      <c r="F75" s="16">
        <f>$G$2</f>
        <v>2.6100000000000002E-2</v>
      </c>
      <c r="G75" s="16">
        <f>$H$2</f>
        <v>2.75E-2</v>
      </c>
      <c r="K75" s="16">
        <f>D76*E75</f>
        <v>7.4254906902758399E-6</v>
      </c>
      <c r="L75" s="16">
        <f>D76*F75</f>
        <v>2.0478160082016E-7</v>
      </c>
      <c r="M75" s="16">
        <f>D76*G75</f>
        <v>2.1576605450399999E-7</v>
      </c>
    </row>
    <row r="76" spans="4:18" x14ac:dyDescent="0.35">
      <c r="D76" s="16">
        <f>'[1]1корзина(3кв)'!D31*'[1]1корзина(3кв)'!E30</f>
        <v>7.8460383455999996E-6</v>
      </c>
    </row>
    <row r="78" spans="4:18" x14ac:dyDescent="0.35">
      <c r="E78">
        <v>1</v>
      </c>
      <c r="F78">
        <v>2</v>
      </c>
      <c r="G78">
        <v>3</v>
      </c>
      <c r="K78">
        <v>1</v>
      </c>
      <c r="L78">
        <v>2</v>
      </c>
      <c r="M78">
        <v>3</v>
      </c>
      <c r="P78" s="16"/>
      <c r="Q78" s="16"/>
      <c r="R78" s="16"/>
    </row>
    <row r="79" spans="4:18" x14ac:dyDescent="0.35">
      <c r="D79">
        <v>2</v>
      </c>
      <c r="E79" s="16">
        <f>$I$2</f>
        <v>0.14080000000000001</v>
      </c>
      <c r="F79" s="16">
        <f>$J$2</f>
        <v>0.32979999999999998</v>
      </c>
      <c r="G79" s="16">
        <f>$K$2</f>
        <v>0.52939999999999998</v>
      </c>
      <c r="K79" s="16">
        <f>D80*E79</f>
        <v>3.2589304872284159E-5</v>
      </c>
      <c r="L79" s="16">
        <f>D80*F79</f>
        <v>7.6334891668176962E-5</v>
      </c>
      <c r="M79" s="16">
        <f>D80*G79</f>
        <v>1.2253393465473889E-4</v>
      </c>
    </row>
    <row r="80" spans="4:18" x14ac:dyDescent="0.35">
      <c r="D80" s="16">
        <f>'[1]1корзина(3кв)'!D31*'[1]1корзина(3кв)'!F30</f>
        <v>2.314581311952E-4</v>
      </c>
    </row>
    <row r="82" spans="4:18" x14ac:dyDescent="0.35">
      <c r="E82">
        <v>1</v>
      </c>
      <c r="F82">
        <v>2</v>
      </c>
      <c r="G82">
        <v>3</v>
      </c>
      <c r="K82">
        <v>1</v>
      </c>
      <c r="L82">
        <v>2</v>
      </c>
      <c r="M82">
        <v>3</v>
      </c>
      <c r="P82" s="16"/>
      <c r="Q82" s="16"/>
      <c r="R82" s="16"/>
    </row>
    <row r="83" spans="4:18" x14ac:dyDescent="0.35">
      <c r="D83">
        <v>3</v>
      </c>
      <c r="E83" s="16">
        <f>$L$2</f>
        <v>5.9999999999999995E-4</v>
      </c>
      <c r="F83" s="16">
        <f>$M$2</f>
        <v>1.77E-2</v>
      </c>
      <c r="G83" s="16">
        <f>$N$2</f>
        <v>0.98170000000000002</v>
      </c>
      <c r="K83" s="16">
        <f>D84*E83</f>
        <v>7.7024558438755199E-6</v>
      </c>
      <c r="L83" s="16">
        <f>D84*F83</f>
        <v>2.2722244739432784E-4</v>
      </c>
      <c r="M83" s="16">
        <f>D84*G83</f>
        <v>1.2602501503220996E-2</v>
      </c>
    </row>
    <row r="84" spans="4:18" x14ac:dyDescent="0.35">
      <c r="D84" s="16">
        <f>'[1]1корзина(3кв)'!D31*'[1]1корзина(3кв)'!G30</f>
        <v>1.28374264064592E-2</v>
      </c>
    </row>
    <row r="86" spans="4:18" x14ac:dyDescent="0.35">
      <c r="E86">
        <v>1</v>
      </c>
      <c r="F86">
        <v>2</v>
      </c>
      <c r="G86">
        <v>3</v>
      </c>
      <c r="K86">
        <v>1</v>
      </c>
      <c r="L86">
        <v>2</v>
      </c>
      <c r="M86">
        <v>3</v>
      </c>
      <c r="P86" s="16"/>
      <c r="Q86" s="16"/>
      <c r="R86" s="16"/>
    </row>
    <row r="87" spans="4:18" x14ac:dyDescent="0.35">
      <c r="D87">
        <v>1</v>
      </c>
      <c r="E87" s="16">
        <f>$F$2</f>
        <v>0.94640000000000002</v>
      </c>
      <c r="F87" s="16">
        <f>$G$2</f>
        <v>2.6100000000000002E-2</v>
      </c>
      <c r="G87" s="16">
        <f>$H$2</f>
        <v>2.75E-2</v>
      </c>
      <c r="K87" s="16">
        <f>D88*E87</f>
        <v>1.3986470674176E-5</v>
      </c>
      <c r="L87" s="16">
        <f>D88*F87</f>
        <v>3.8572156022400002E-7</v>
      </c>
      <c r="M87" s="16">
        <f>D88*G87</f>
        <v>4.0641160560000002E-7</v>
      </c>
    </row>
    <row r="88" spans="4:18" x14ac:dyDescent="0.35">
      <c r="D88" s="16">
        <f>'[1]1корзина(3кв)'!D35*'[1]1корзина(3кв)'!E34</f>
        <v>1.477860384E-5</v>
      </c>
    </row>
    <row r="90" spans="4:18" x14ac:dyDescent="0.35">
      <c r="E90">
        <v>1</v>
      </c>
      <c r="F90">
        <v>2</v>
      </c>
      <c r="G90">
        <v>3</v>
      </c>
      <c r="K90">
        <v>1</v>
      </c>
      <c r="L90">
        <v>2</v>
      </c>
      <c r="M90">
        <v>3</v>
      </c>
      <c r="P90" s="16"/>
      <c r="Q90" s="16"/>
      <c r="R90" s="16"/>
    </row>
    <row r="91" spans="4:18" x14ac:dyDescent="0.35">
      <c r="D91">
        <v>2</v>
      </c>
      <c r="E91" s="16">
        <f>$I$2</f>
        <v>0.14080000000000001</v>
      </c>
      <c r="F91" s="16">
        <f>$J$2</f>
        <v>0.32979999999999998</v>
      </c>
      <c r="G91" s="16">
        <f>$K$2</f>
        <v>0.52939999999999998</v>
      </c>
      <c r="K91" s="16">
        <f>D92*E91</f>
        <v>5.7385456128000006E-8</v>
      </c>
      <c r="L91" s="16">
        <f>D92*F91</f>
        <v>1.34415649368E-7</v>
      </c>
      <c r="M91" s="16">
        <f>D92*G91</f>
        <v>2.1576605450399999E-7</v>
      </c>
    </row>
    <row r="92" spans="4:18" x14ac:dyDescent="0.35">
      <c r="D92" s="16">
        <f>'[1]1корзина(3кв)'!D35*'[1]1корзина(3кв)'!F34</f>
        <v>4.0756716000000001E-7</v>
      </c>
    </row>
    <row r="94" spans="4:18" x14ac:dyDescent="0.35">
      <c r="E94">
        <v>1</v>
      </c>
      <c r="F94">
        <v>2</v>
      </c>
      <c r="G94">
        <v>3</v>
      </c>
      <c r="K94">
        <v>1</v>
      </c>
      <c r="L94">
        <v>2</v>
      </c>
      <c r="M94">
        <v>3</v>
      </c>
      <c r="P94" s="16"/>
      <c r="Q94" s="16"/>
      <c r="R94" s="16"/>
    </row>
    <row r="95" spans="4:18" x14ac:dyDescent="0.35">
      <c r="D95">
        <v>3</v>
      </c>
      <c r="E95" s="16">
        <f>$L$2</f>
        <v>5.9999999999999995E-4</v>
      </c>
      <c r="F95" s="16">
        <f>$M$2</f>
        <v>1.77E-2</v>
      </c>
      <c r="G95" s="16">
        <f>$N$2</f>
        <v>0.98170000000000002</v>
      </c>
      <c r="K95" s="16">
        <f>D96*E95</f>
        <v>2.5765740000000002E-10</v>
      </c>
      <c r="L95" s="16">
        <f>D96*F95</f>
        <v>7.6008933000000004E-9</v>
      </c>
      <c r="M95" s="16">
        <f>D96*G95</f>
        <v>4.2157044930000003E-7</v>
      </c>
    </row>
    <row r="96" spans="4:18" x14ac:dyDescent="0.35">
      <c r="D96" s="16">
        <f>'[1]1корзина(3кв)'!D35*'[1]1корзина(3кв)'!G34</f>
        <v>4.2942900000000003E-7</v>
      </c>
    </row>
    <row r="98" spans="4:18" x14ac:dyDescent="0.35">
      <c r="E98">
        <v>1</v>
      </c>
      <c r="F98">
        <v>2</v>
      </c>
      <c r="G98">
        <v>3</v>
      </c>
      <c r="K98">
        <v>1</v>
      </c>
      <c r="L98">
        <v>2</v>
      </c>
      <c r="M98">
        <v>3</v>
      </c>
      <c r="P98" s="16"/>
      <c r="Q98" s="16"/>
      <c r="R98" s="16"/>
    </row>
    <row r="99" spans="4:18" x14ac:dyDescent="0.35">
      <c r="D99">
        <v>1</v>
      </c>
      <c r="E99" s="16">
        <f>$F$2</f>
        <v>0.94640000000000002</v>
      </c>
      <c r="F99" s="16">
        <f>$G$2</f>
        <v>2.6100000000000002E-2</v>
      </c>
      <c r="G99" s="16">
        <f>$H$2</f>
        <v>2.75E-2</v>
      </c>
      <c r="K99" s="16">
        <f>D100*E99</f>
        <v>6.1384408909824018E-5</v>
      </c>
      <c r="L99" s="16">
        <f>D100*F99</f>
        <v>1.6928709557760005E-6</v>
      </c>
      <c r="M99" s="16">
        <f>D100*G99</f>
        <v>1.7836762944000002E-6</v>
      </c>
    </row>
    <row r="100" spans="4:18" x14ac:dyDescent="0.35">
      <c r="D100" s="16">
        <f>'[1]1корзина(3кв)'!D39*'[1]1корзина(3кв)'!E38</f>
        <v>6.4860956160000012E-5</v>
      </c>
    </row>
    <row r="102" spans="4:18" x14ac:dyDescent="0.35">
      <c r="E102">
        <v>1</v>
      </c>
      <c r="F102">
        <v>2</v>
      </c>
      <c r="G102">
        <v>3</v>
      </c>
      <c r="K102">
        <v>1</v>
      </c>
      <c r="L102">
        <v>2</v>
      </c>
      <c r="M102">
        <v>3</v>
      </c>
    </row>
    <row r="103" spans="4:18" x14ac:dyDescent="0.35">
      <c r="D103">
        <v>2</v>
      </c>
      <c r="E103" s="16">
        <f>$I$2</f>
        <v>0.14080000000000001</v>
      </c>
      <c r="F103" s="16">
        <f>$J$2</f>
        <v>0.32979999999999998</v>
      </c>
      <c r="G103" s="16">
        <f>$K$2</f>
        <v>0.52939999999999998</v>
      </c>
      <c r="K103" s="16">
        <f>D104*E103</f>
        <v>2.1391143341568001E-5</v>
      </c>
      <c r="L103" s="16">
        <f>D104*F103</f>
        <v>5.0105107060007997E-5</v>
      </c>
      <c r="M103" s="16">
        <f>D104*G103</f>
        <v>8.0429483558424E-5</v>
      </c>
      <c r="P103" s="16"/>
      <c r="Q103" s="16"/>
      <c r="R103" s="16"/>
    </row>
    <row r="104" spans="4:18" x14ac:dyDescent="0.35">
      <c r="D104" s="16">
        <f>'[1]1корзина(3кв)'!D39*'[1]1корзина(3кв)'!F38</f>
        <v>1.5192573396E-4</v>
      </c>
    </row>
    <row r="105" spans="4:18" x14ac:dyDescent="0.35">
      <c r="Q105" s="16"/>
      <c r="R105" s="16"/>
    </row>
    <row r="106" spans="4:18" x14ac:dyDescent="0.35">
      <c r="E106">
        <v>1</v>
      </c>
      <c r="F106">
        <v>2</v>
      </c>
      <c r="G106">
        <v>3</v>
      </c>
      <c r="K106">
        <v>1</v>
      </c>
      <c r="L106">
        <v>2</v>
      </c>
      <c r="M106">
        <v>3</v>
      </c>
    </row>
    <row r="107" spans="4:18" x14ac:dyDescent="0.35">
      <c r="D107">
        <v>3</v>
      </c>
      <c r="E107" s="16">
        <f>$L$2</f>
        <v>5.9999999999999995E-4</v>
      </c>
      <c r="F107" s="16">
        <f>$M$2</f>
        <v>1.77E-2</v>
      </c>
      <c r="G107" s="16">
        <f>$N$2</f>
        <v>0.98170000000000002</v>
      </c>
      <c r="K107" s="16">
        <f>D108*E107</f>
        <v>1.4632410592799997E-7</v>
      </c>
      <c r="L107" s="16">
        <f>D108*F107</f>
        <v>4.3165611248760001E-6</v>
      </c>
      <c r="M107" s="16">
        <f>D108*G107</f>
        <v>2.3941062464919599E-4</v>
      </c>
      <c r="P107" s="16"/>
      <c r="Q107" s="16"/>
      <c r="R107" s="16"/>
    </row>
    <row r="108" spans="4:18" x14ac:dyDescent="0.35">
      <c r="D108" s="16">
        <f>'[1]1корзина(3кв)'!D39*'[1]1корзина(3кв)'!G38</f>
        <v>2.4387350987999998E-4</v>
      </c>
      <c r="Q108" s="16"/>
      <c r="R108" s="16"/>
    </row>
    <row r="110" spans="4:18" x14ac:dyDescent="0.35">
      <c r="E110">
        <v>1</v>
      </c>
      <c r="F110">
        <v>2</v>
      </c>
      <c r="G110">
        <v>3</v>
      </c>
      <c r="K110">
        <v>1</v>
      </c>
      <c r="L110">
        <v>2</v>
      </c>
      <c r="M110">
        <v>3</v>
      </c>
    </row>
    <row r="111" spans="4:18" x14ac:dyDescent="0.35">
      <c r="D111">
        <v>1</v>
      </c>
      <c r="E111" s="16">
        <f>$F$2</f>
        <v>0.94640000000000002</v>
      </c>
      <c r="F111" s="16">
        <f>$G$2</f>
        <v>2.6100000000000002E-2</v>
      </c>
      <c r="G111" s="16">
        <f>$H$2</f>
        <v>2.75E-2</v>
      </c>
      <c r="K111" s="16">
        <f>D112*E111</f>
        <v>1.4508155389728E-5</v>
      </c>
      <c r="L111" s="16">
        <f>D112*F111</f>
        <v>4.0010868097200004E-7</v>
      </c>
      <c r="M111" s="16">
        <f>D112*G111</f>
        <v>4.2157044930000003E-7</v>
      </c>
      <c r="P111" s="16"/>
      <c r="Q111" s="16"/>
      <c r="R111" s="16"/>
    </row>
    <row r="112" spans="4:18" x14ac:dyDescent="0.35">
      <c r="D112" s="16">
        <f>'[1]1корзина(3кв)'!D43*'[1]1корзина(3кв)'!E42</f>
        <v>1.5329834520000001E-5</v>
      </c>
    </row>
    <row r="114" spans="4:18" x14ac:dyDescent="0.35">
      <c r="E114">
        <v>1</v>
      </c>
      <c r="F114">
        <v>2</v>
      </c>
      <c r="G114">
        <v>3</v>
      </c>
      <c r="K114">
        <v>1</v>
      </c>
      <c r="L114">
        <v>2</v>
      </c>
      <c r="M114">
        <v>3</v>
      </c>
    </row>
    <row r="115" spans="4:18" x14ac:dyDescent="0.35">
      <c r="D115">
        <v>2</v>
      </c>
      <c r="E115" s="16">
        <f>$I$2</f>
        <v>0.14080000000000001</v>
      </c>
      <c r="F115" s="16">
        <f>$J$2</f>
        <v>0.32979999999999998</v>
      </c>
      <c r="G115" s="16">
        <f>$K$2</f>
        <v>0.52939999999999998</v>
      </c>
      <c r="K115" s="16">
        <f>D116*E115</f>
        <v>6.3674000662272009E-5</v>
      </c>
      <c r="L115" s="16">
        <f>D116*F115</f>
        <v>1.49145493028532E-4</v>
      </c>
      <c r="M115" s="16">
        <f>D116*G115</f>
        <v>2.3941062464919602E-4</v>
      </c>
      <c r="P115" s="16"/>
      <c r="Q115" s="16"/>
      <c r="R115" s="16"/>
    </row>
    <row r="116" spans="4:18" x14ac:dyDescent="0.35">
      <c r="D116" s="16">
        <f>'[1]1корзина(3кв)'!D43*'[1]1корзина(3кв)'!F42</f>
        <v>4.5223011834000004E-4</v>
      </c>
      <c r="Q116" s="16"/>
      <c r="R116" s="16"/>
    </row>
    <row r="118" spans="4:18" x14ac:dyDescent="0.35">
      <c r="E118">
        <v>1</v>
      </c>
      <c r="F118">
        <v>2</v>
      </c>
      <c r="G118">
        <v>3</v>
      </c>
      <c r="K118">
        <v>1</v>
      </c>
      <c r="L118">
        <v>2</v>
      </c>
      <c r="M118">
        <v>3</v>
      </c>
    </row>
    <row r="119" spans="4:18" x14ac:dyDescent="0.35">
      <c r="D119">
        <v>3</v>
      </c>
      <c r="E119" s="16">
        <f>$L$2</f>
        <v>5.9999999999999995E-4</v>
      </c>
      <c r="F119" s="16">
        <f>$M$2</f>
        <v>1.77E-2</v>
      </c>
      <c r="G119" s="16">
        <f>$N$2</f>
        <v>0.98170000000000002</v>
      </c>
      <c r="K119" s="16">
        <f>D120*E119</f>
        <v>1.5049298548284001E-5</v>
      </c>
      <c r="L119" s="16">
        <f>D120*F119</f>
        <v>4.439543071743781E-4</v>
      </c>
      <c r="M119" s="16">
        <f>D120*G119</f>
        <v>2.4623160641417341E-2</v>
      </c>
      <c r="P119" s="16"/>
      <c r="Q119" s="16"/>
      <c r="R119" s="16"/>
    </row>
    <row r="120" spans="4:18" x14ac:dyDescent="0.35">
      <c r="D120" s="16">
        <f>'[1]1корзина(3кв)'!D43*'[1]1корзина(3кв)'!G42</f>
        <v>2.5082164247140003E-2</v>
      </c>
    </row>
    <row r="122" spans="4:18" x14ac:dyDescent="0.35">
      <c r="E122">
        <v>1</v>
      </c>
      <c r="F122">
        <v>2</v>
      </c>
      <c r="G122">
        <v>3</v>
      </c>
      <c r="K122">
        <v>1</v>
      </c>
      <c r="L122">
        <v>2</v>
      </c>
      <c r="M122">
        <v>3</v>
      </c>
    </row>
    <row r="123" spans="4:18" x14ac:dyDescent="0.35">
      <c r="D123">
        <v>1</v>
      </c>
      <c r="E123" s="16">
        <f>$F$2</f>
        <v>0.94640000000000002</v>
      </c>
      <c r="F123" s="16">
        <f>$G$2</f>
        <v>2.6100000000000002E-2</v>
      </c>
      <c r="G123" s="16">
        <f>$H$2</f>
        <v>2.75E-2</v>
      </c>
      <c r="K123" s="16">
        <f>D124*E123</f>
        <v>3.1150667485524792E-3</v>
      </c>
      <c r="L123" s="16">
        <f>D124*F123</f>
        <v>8.5907905893089305E-5</v>
      </c>
      <c r="M123" s="16">
        <f>D124*G123</f>
        <v>9.0515992799232008E-5</v>
      </c>
      <c r="P123" s="16"/>
      <c r="Q123" s="16"/>
      <c r="R123" s="16"/>
    </row>
    <row r="124" spans="4:18" x14ac:dyDescent="0.35">
      <c r="D124" s="16">
        <f>'[1]1корзина(3кв)'!D47*'[1]1корзина(3кв)'!E46</f>
        <v>3.2914906472448005E-3</v>
      </c>
    </row>
    <row r="126" spans="4:18" x14ac:dyDescent="0.35">
      <c r="E126">
        <v>1</v>
      </c>
      <c r="F126">
        <v>2</v>
      </c>
      <c r="G126">
        <v>3</v>
      </c>
      <c r="K126">
        <v>1</v>
      </c>
      <c r="L126">
        <v>2</v>
      </c>
      <c r="M126">
        <v>3</v>
      </c>
    </row>
    <row r="127" spans="4:18" x14ac:dyDescent="0.35">
      <c r="D127">
        <v>2</v>
      </c>
      <c r="E127" s="16">
        <f>$I$2</f>
        <v>0.14080000000000001</v>
      </c>
      <c r="F127" s="16">
        <f>$J$2</f>
        <v>0.32979999999999998</v>
      </c>
      <c r="G127" s="16">
        <f>$K$2</f>
        <v>0.52939999999999998</v>
      </c>
      <c r="K127" s="16">
        <f>D128*E127</f>
        <v>1.2780888788828164E-5</v>
      </c>
      <c r="L127" s="16">
        <f>D128*F127</f>
        <v>2.9937053427240965E-5</v>
      </c>
      <c r="M127" s="16">
        <f>D128*G127</f>
        <v>4.8055415659130887E-5</v>
      </c>
      <c r="P127" s="16"/>
      <c r="Q127" s="16"/>
      <c r="R127" s="16"/>
    </row>
    <row r="128" spans="4:18" x14ac:dyDescent="0.35">
      <c r="D128" s="16">
        <f>'[1]1корзина(3кв)'!D47*'[1]1корзина(3кв)'!F46</f>
        <v>9.0773357875200021E-5</v>
      </c>
    </row>
    <row r="129" spans="4:18" x14ac:dyDescent="0.35">
      <c r="Q129" s="16"/>
      <c r="R129" s="16"/>
    </row>
    <row r="130" spans="4:18" x14ac:dyDescent="0.35">
      <c r="E130">
        <v>1</v>
      </c>
      <c r="F130">
        <v>2</v>
      </c>
      <c r="G130">
        <v>3</v>
      </c>
      <c r="K130">
        <v>1</v>
      </c>
      <c r="L130">
        <v>2</v>
      </c>
      <c r="M130">
        <v>3</v>
      </c>
    </row>
    <row r="131" spans="4:18" x14ac:dyDescent="0.35">
      <c r="D131">
        <v>3</v>
      </c>
      <c r="E131" s="16">
        <f>$L$2</f>
        <v>5.9999999999999995E-4</v>
      </c>
      <c r="F131" s="16">
        <f>$M$2</f>
        <v>1.77E-2</v>
      </c>
      <c r="G131" s="16">
        <f>$N$2</f>
        <v>0.98170000000000002</v>
      </c>
      <c r="K131" s="16">
        <f>D132*E131</f>
        <v>5.7385456128000006E-8</v>
      </c>
      <c r="L131" s="16">
        <f>D132*F131</f>
        <v>1.6928709557760005E-6</v>
      </c>
      <c r="M131" s="16">
        <f>D132*G131</f>
        <v>9.3892170468096021E-5</v>
      </c>
      <c r="P131" s="16"/>
      <c r="Q131" s="16"/>
      <c r="R131" s="16"/>
    </row>
    <row r="132" spans="4:18" x14ac:dyDescent="0.35">
      <c r="D132" s="16">
        <f>'[1]1корзина(3кв)'!D47*'[1]1корзина(3кв)'!G46</f>
        <v>9.5642426880000021E-5</v>
      </c>
    </row>
    <row r="134" spans="4:18" x14ac:dyDescent="0.35">
      <c r="E134">
        <v>1</v>
      </c>
      <c r="F134">
        <v>2</v>
      </c>
      <c r="G134">
        <v>3</v>
      </c>
      <c r="K134">
        <v>1</v>
      </c>
      <c r="L134">
        <v>2</v>
      </c>
      <c r="M134">
        <v>3</v>
      </c>
    </row>
    <row r="135" spans="4:18" x14ac:dyDescent="0.35">
      <c r="D135">
        <v>1</v>
      </c>
      <c r="E135" s="16">
        <f>$F$2</f>
        <v>0.94640000000000002</v>
      </c>
      <c r="F135" s="16">
        <f>$G$2</f>
        <v>2.6100000000000002E-2</v>
      </c>
      <c r="G135" s="16">
        <f>$H$2</f>
        <v>2.75E-2</v>
      </c>
      <c r="K135" s="16">
        <f>D136*E135</f>
        <v>1.2780888788828164E-5</v>
      </c>
      <c r="L135" s="16">
        <f>D136*F135</f>
        <v>3.5247379267584015E-7</v>
      </c>
      <c r="M135" s="16">
        <f>D136*G135</f>
        <v>3.7138043289600015E-7</v>
      </c>
      <c r="P135" s="16"/>
      <c r="Q135" s="16"/>
      <c r="R135" s="16"/>
    </row>
    <row r="136" spans="4:18" x14ac:dyDescent="0.35">
      <c r="D136" s="16">
        <f>'[1]1корзина(3кв)'!D51*'[1]1корзина(3кв)'!E50</f>
        <v>1.3504743014400005E-5</v>
      </c>
    </row>
    <row r="138" spans="4:18" x14ac:dyDescent="0.35">
      <c r="E138">
        <v>1</v>
      </c>
      <c r="F138">
        <v>2</v>
      </c>
      <c r="G138">
        <v>3</v>
      </c>
      <c r="K138">
        <v>1</v>
      </c>
      <c r="L138">
        <v>2</v>
      </c>
      <c r="M138">
        <v>3</v>
      </c>
    </row>
    <row r="139" spans="4:18" x14ac:dyDescent="0.35">
      <c r="D139">
        <v>2</v>
      </c>
      <c r="E139" s="16">
        <f>$I$2</f>
        <v>0.14080000000000001</v>
      </c>
      <c r="F139" s="16">
        <f>$J$2</f>
        <v>0.32979999999999998</v>
      </c>
      <c r="G139" s="16">
        <f>$K$2</f>
        <v>0.52939999999999998</v>
      </c>
      <c r="K139" s="16">
        <f>D140*E139</f>
        <v>4.4538642461491209E-6</v>
      </c>
      <c r="L139" s="16">
        <f>D140*F139</f>
        <v>1.0432417815198722E-5</v>
      </c>
      <c r="M139" s="16">
        <f>D140*G139</f>
        <v>1.6746276505052164E-5</v>
      </c>
      <c r="P139" s="16"/>
      <c r="Q139" s="16"/>
      <c r="R139" s="16"/>
    </row>
    <row r="140" spans="4:18" x14ac:dyDescent="0.35">
      <c r="D140" s="16">
        <f>'[1]1корзина(3кв)'!D51*'[1]1корзина(3кв)'!F50</f>
        <v>3.1632558566400006E-5</v>
      </c>
    </row>
    <row r="142" spans="4:18" x14ac:dyDescent="0.35">
      <c r="E142">
        <v>1</v>
      </c>
      <c r="F142">
        <v>2</v>
      </c>
      <c r="G142">
        <v>3</v>
      </c>
      <c r="K142">
        <v>1</v>
      </c>
      <c r="L142">
        <v>2</v>
      </c>
      <c r="M142">
        <v>3</v>
      </c>
    </row>
    <row r="143" spans="4:18" x14ac:dyDescent="0.35">
      <c r="D143">
        <v>3</v>
      </c>
      <c r="E143" s="16">
        <f>$L$2</f>
        <v>5.9999999999999995E-4</v>
      </c>
      <c r="F143" s="16">
        <f>$M$2</f>
        <v>1.77E-2</v>
      </c>
      <c r="G143" s="16">
        <f>$N$2</f>
        <v>0.98170000000000002</v>
      </c>
      <c r="K143" s="16">
        <f>D144*E143</f>
        <v>3.0466239851520008E-8</v>
      </c>
      <c r="L143" s="16">
        <f>D144*F143</f>
        <v>8.9875407561984022E-7</v>
      </c>
      <c r="M143" s="16">
        <f>D144*G143</f>
        <v>4.9847846103728651E-5</v>
      </c>
      <c r="P143" s="16"/>
      <c r="Q143" s="16"/>
      <c r="R143" s="16"/>
    </row>
    <row r="144" spans="4:18" x14ac:dyDescent="0.35">
      <c r="D144" s="16">
        <f>'[1]1корзина(3кв)'!D51*'[1]1корзина(3кв)'!G50</f>
        <v>5.0777066419200013E-5</v>
      </c>
    </row>
    <row r="146" spans="4:18" x14ac:dyDescent="0.35">
      <c r="E146">
        <v>1</v>
      </c>
      <c r="F146">
        <v>2</v>
      </c>
      <c r="G146">
        <v>3</v>
      </c>
      <c r="K146">
        <v>1</v>
      </c>
      <c r="L146">
        <v>2</v>
      </c>
      <c r="M146">
        <v>3</v>
      </c>
    </row>
    <row r="147" spans="4:18" x14ac:dyDescent="0.35">
      <c r="D147">
        <v>1</v>
      </c>
      <c r="E147" s="16">
        <f>$F$2</f>
        <v>0.94640000000000002</v>
      </c>
      <c r="F147" s="16">
        <f>$G$2</f>
        <v>2.6100000000000002E-2</v>
      </c>
      <c r="G147" s="16">
        <f>$H$2</f>
        <v>2.75E-2</v>
      </c>
      <c r="K147" s="16">
        <f>D148*E147</f>
        <v>5.7385456128000006E-8</v>
      </c>
      <c r="L147" s="16">
        <f>D148*F147</f>
        <v>1.5825870720000003E-9</v>
      </c>
      <c r="M147" s="16">
        <f>D148*G147</f>
        <v>1.6674768000000001E-9</v>
      </c>
      <c r="P147" s="16"/>
      <c r="Q147" s="16"/>
      <c r="R147" s="16"/>
    </row>
    <row r="148" spans="4:18" x14ac:dyDescent="0.35">
      <c r="D148" s="16">
        <f>'[1]1корзина(3кв)'!D55*'[1]1корзина(3кв)'!E54</f>
        <v>6.0635520000000007E-8</v>
      </c>
    </row>
    <row r="150" spans="4:18" x14ac:dyDescent="0.35">
      <c r="E150">
        <v>1</v>
      </c>
      <c r="F150">
        <v>2</v>
      </c>
      <c r="G150">
        <v>3</v>
      </c>
      <c r="K150">
        <v>1</v>
      </c>
      <c r="L150">
        <v>2</v>
      </c>
      <c r="M150">
        <v>3</v>
      </c>
    </row>
    <row r="151" spans="4:18" x14ac:dyDescent="0.35">
      <c r="D151">
        <v>2</v>
      </c>
      <c r="E151" s="16">
        <f>$I$2</f>
        <v>0.14080000000000001</v>
      </c>
      <c r="F151" s="16">
        <f>$J$2</f>
        <v>0.32979999999999998</v>
      </c>
      <c r="G151" s="16">
        <f>$K$2</f>
        <v>0.52939999999999998</v>
      </c>
      <c r="K151" s="16">
        <f>D152*E151</f>
        <v>2.5185569587200007E-7</v>
      </c>
      <c r="L151" s="16">
        <f>D152*F151</f>
        <v>5.8992903763200012E-7</v>
      </c>
      <c r="M151" s="16">
        <f>D152*G151</f>
        <v>9.4696310649600025E-7</v>
      </c>
      <c r="P151" s="16"/>
      <c r="Q151" s="16"/>
      <c r="R151" s="16"/>
    </row>
    <row r="152" spans="4:18" x14ac:dyDescent="0.35">
      <c r="D152" s="16">
        <f>'[1]1корзина(3кв)'!D55*'[1]1корзина(3кв)'!F54</f>
        <v>1.7887478400000004E-6</v>
      </c>
    </row>
    <row r="154" spans="4:18" x14ac:dyDescent="0.35">
      <c r="E154">
        <v>1</v>
      </c>
      <c r="F154">
        <v>2</v>
      </c>
      <c r="G154">
        <v>3</v>
      </c>
      <c r="K154">
        <v>1</v>
      </c>
      <c r="L154">
        <v>2</v>
      </c>
      <c r="M154">
        <v>3</v>
      </c>
    </row>
    <row r="155" spans="4:18" x14ac:dyDescent="0.35">
      <c r="D155">
        <v>3</v>
      </c>
      <c r="E155" s="16">
        <f>$L$2</f>
        <v>5.9999999999999995E-4</v>
      </c>
      <c r="F155" s="16">
        <f>$M$2</f>
        <v>1.77E-2</v>
      </c>
      <c r="G155" s="16">
        <f>$N$2</f>
        <v>0.98170000000000002</v>
      </c>
      <c r="K155" s="16">
        <f>D156*E155</f>
        <v>5.9525889984000009E-8</v>
      </c>
      <c r="L155" s="16">
        <f>D156*F155</f>
        <v>1.7560137545280004E-6</v>
      </c>
      <c r="M155" s="16">
        <f>D156*G155</f>
        <v>9.7394276995488026E-5</v>
      </c>
      <c r="P155" s="16"/>
      <c r="Q155" s="16"/>
      <c r="R155" s="16"/>
    </row>
    <row r="156" spans="4:18" x14ac:dyDescent="0.35">
      <c r="D156" s="16">
        <f>'[1]1корзина(3кв)'!D55*'[1]1корзина(3кв)'!G54</f>
        <v>9.9209816640000027E-5</v>
      </c>
    </row>
    <row r="158" spans="4:18" x14ac:dyDescent="0.35">
      <c r="E158">
        <v>1</v>
      </c>
      <c r="F158">
        <v>2</v>
      </c>
      <c r="G158">
        <v>3</v>
      </c>
      <c r="K158">
        <v>1</v>
      </c>
      <c r="L158">
        <v>2</v>
      </c>
      <c r="M158">
        <v>3</v>
      </c>
    </row>
    <row r="159" spans="4:18" x14ac:dyDescent="0.35">
      <c r="D159">
        <v>1</v>
      </c>
      <c r="E159" s="16">
        <f>$F$2</f>
        <v>0.94640000000000002</v>
      </c>
      <c r="F159" s="16">
        <f>$G$2</f>
        <v>2.6100000000000002E-2</v>
      </c>
      <c r="G159" s="16">
        <f>$H$2</f>
        <v>2.75E-2</v>
      </c>
      <c r="K159" s="16">
        <f>D160*E159</f>
        <v>1.0855336154613354E-3</v>
      </c>
      <c r="L159" s="16">
        <f>D160*F159</f>
        <v>2.9937053427240969E-5</v>
      </c>
      <c r="M159" s="16">
        <f>D160*G159</f>
        <v>3.1542872385024006E-5</v>
      </c>
      <c r="P159" s="16"/>
      <c r="Q159" s="16"/>
      <c r="R159" s="16"/>
    </row>
    <row r="160" spans="4:18" x14ac:dyDescent="0.35">
      <c r="D160" s="16">
        <f>'[1]1корзина(3кв)'!D59*'[1]1корзина(3кв)'!E58</f>
        <v>1.1470135412736003E-3</v>
      </c>
    </row>
    <row r="162" spans="4:18" x14ac:dyDescent="0.35">
      <c r="E162">
        <v>1</v>
      </c>
      <c r="F162">
        <v>2</v>
      </c>
      <c r="G162">
        <v>3</v>
      </c>
      <c r="K162">
        <v>1</v>
      </c>
      <c r="L162">
        <v>2</v>
      </c>
      <c r="M162">
        <v>3</v>
      </c>
    </row>
    <row r="163" spans="4:18" x14ac:dyDescent="0.35">
      <c r="D163">
        <v>2</v>
      </c>
      <c r="E163" s="16">
        <f>$I$2</f>
        <v>0.14080000000000001</v>
      </c>
      <c r="F163" s="16">
        <f>$J$2</f>
        <v>0.32979999999999998</v>
      </c>
      <c r="G163" s="16">
        <f>$K$2</f>
        <v>0.52939999999999998</v>
      </c>
      <c r="K163" s="16">
        <f>D164*E163</f>
        <v>4.4538642461491209E-6</v>
      </c>
      <c r="L163" s="16">
        <f>D164*F163</f>
        <v>1.0432417815198722E-5</v>
      </c>
      <c r="M163" s="16">
        <f>D164*G163</f>
        <v>1.6746276505052164E-5</v>
      </c>
      <c r="P163" s="16"/>
      <c r="Q163" s="16"/>
      <c r="R163" s="16"/>
    </row>
    <row r="164" spans="4:18" x14ac:dyDescent="0.35">
      <c r="D164" s="16">
        <f>'[1]1корзина(3кв)'!D59*'[1]1корзина(3кв)'!F58</f>
        <v>3.1632558566400006E-5</v>
      </c>
    </row>
    <row r="166" spans="4:18" x14ac:dyDescent="0.35">
      <c r="E166">
        <v>1</v>
      </c>
      <c r="F166">
        <v>2</v>
      </c>
      <c r="G166">
        <v>3</v>
      </c>
      <c r="K166">
        <v>1</v>
      </c>
      <c r="L166">
        <v>2</v>
      </c>
      <c r="M166">
        <v>3</v>
      </c>
    </row>
    <row r="167" spans="4:18" x14ac:dyDescent="0.35">
      <c r="D167">
        <v>3</v>
      </c>
      <c r="E167" s="16">
        <f>$L$2</f>
        <v>5.9999999999999995E-4</v>
      </c>
      <c r="F167" s="16">
        <f>$M$2</f>
        <v>1.77E-2</v>
      </c>
      <c r="G167" s="16">
        <f>$N$2</f>
        <v>0.98170000000000002</v>
      </c>
      <c r="K167" s="16">
        <f>D168*E167</f>
        <v>1.9997594495999999E-8</v>
      </c>
      <c r="L167" s="16">
        <f>D168*F167</f>
        <v>5.8992903763200002E-7</v>
      </c>
      <c r="M167" s="16">
        <f>D168*G167</f>
        <v>3.2719397527872006E-5</v>
      </c>
      <c r="P167" s="16"/>
      <c r="Q167" s="16"/>
      <c r="R167" s="16"/>
    </row>
    <row r="168" spans="4:18" x14ac:dyDescent="0.35">
      <c r="D168" s="16">
        <f>'[1]1корзина(3кв)'!D59*'[1]1корзина(3кв)'!G58</f>
        <v>3.3329324160000002E-5</v>
      </c>
    </row>
    <row r="170" spans="4:18" x14ac:dyDescent="0.35">
      <c r="E170">
        <v>1</v>
      </c>
      <c r="F170">
        <v>2</v>
      </c>
      <c r="G170">
        <v>3</v>
      </c>
      <c r="K170">
        <v>1</v>
      </c>
      <c r="L170">
        <v>2</v>
      </c>
      <c r="M170">
        <v>3</v>
      </c>
    </row>
    <row r="171" spans="4:18" x14ac:dyDescent="0.35">
      <c r="D171">
        <v>1</v>
      </c>
      <c r="E171" s="16">
        <f>$F$2</f>
        <v>0.94640000000000002</v>
      </c>
      <c r="F171" s="16">
        <f>$G$2</f>
        <v>2.6100000000000002E-2</v>
      </c>
      <c r="G171" s="16">
        <f>$H$2</f>
        <v>2.75E-2</v>
      </c>
      <c r="K171" s="16">
        <f>D172*E171</f>
        <v>3.7828506591203333E-4</v>
      </c>
      <c r="L171" s="16">
        <f>D172*F171</f>
        <v>1.0432417815198722E-5</v>
      </c>
      <c r="M171" s="16">
        <f>D172*G171</f>
        <v>1.0992011107968001E-5</v>
      </c>
      <c r="P171" s="16"/>
      <c r="Q171" s="16"/>
      <c r="R171" s="16"/>
    </row>
    <row r="172" spans="4:18" x14ac:dyDescent="0.35">
      <c r="D172" s="16">
        <f>'[1]1корзина(3кв)'!D63*'[1]1корзина(3кв)'!E62</f>
        <v>3.9970949483520004E-4</v>
      </c>
    </row>
    <row r="174" spans="4:18" x14ac:dyDescent="0.35">
      <c r="E174">
        <v>1</v>
      </c>
      <c r="F174">
        <v>2</v>
      </c>
      <c r="G174">
        <v>3</v>
      </c>
      <c r="K174">
        <v>1</v>
      </c>
      <c r="L174">
        <v>2</v>
      </c>
      <c r="M174">
        <v>3</v>
      </c>
    </row>
    <row r="175" spans="4:18" x14ac:dyDescent="0.35">
      <c r="D175">
        <v>2</v>
      </c>
      <c r="E175" s="16">
        <f>$I$2</f>
        <v>0.14080000000000001</v>
      </c>
      <c r="F175" s="16">
        <f>$J$2</f>
        <v>0.32979999999999998</v>
      </c>
      <c r="G175" s="16">
        <f>$K$2</f>
        <v>0.52939999999999998</v>
      </c>
      <c r="K175" s="16">
        <f>D176*E175</f>
        <v>1.3182419139664897E-4</v>
      </c>
      <c r="L175" s="16">
        <f>D176*F175</f>
        <v>3.0877569831402576E-4</v>
      </c>
      <c r="M175" s="16">
        <f>D176*G175</f>
        <v>4.956514696405252E-4</v>
      </c>
      <c r="P175" s="16"/>
      <c r="Q175" s="16"/>
      <c r="R175" s="16"/>
    </row>
    <row r="176" spans="4:18" x14ac:dyDescent="0.35">
      <c r="D176" s="16">
        <f>'[1]1корзина(3кв)'!D63*'[1]1корзина(3кв)'!F62</f>
        <v>9.3625135935119998E-4</v>
      </c>
    </row>
    <row r="178" spans="4:18" x14ac:dyDescent="0.35">
      <c r="E178">
        <v>1</v>
      </c>
      <c r="F178">
        <v>2</v>
      </c>
      <c r="G178">
        <v>3</v>
      </c>
      <c r="K178">
        <v>1</v>
      </c>
      <c r="L178">
        <v>2</v>
      </c>
      <c r="M178">
        <v>3</v>
      </c>
    </row>
    <row r="179" spans="4:18" x14ac:dyDescent="0.35">
      <c r="D179">
        <v>3</v>
      </c>
      <c r="E179" s="16">
        <f>$L$2</f>
        <v>5.9999999999999995E-4</v>
      </c>
      <c r="F179" s="16">
        <f>$M$2</f>
        <v>1.77E-2</v>
      </c>
      <c r="G179" s="16">
        <f>$N$2</f>
        <v>0.98170000000000002</v>
      </c>
      <c r="K179" s="16">
        <f>D180*E179</f>
        <v>9.0173099388815986E-7</v>
      </c>
      <c r="L179" s="16">
        <f>D180*F179</f>
        <v>2.6601064319700721E-5</v>
      </c>
      <c r="M179" s="16">
        <f>D180*G179</f>
        <v>1.4753821945000111E-3</v>
      </c>
      <c r="P179" s="16"/>
      <c r="Q179" s="16"/>
      <c r="R179" s="16"/>
    </row>
    <row r="180" spans="4:18" x14ac:dyDescent="0.35">
      <c r="D180" s="16">
        <f>'[1]1корзина(3кв)'!D63*'[1]1корзина(3кв)'!G62</f>
        <v>1.5028849898135999E-3</v>
      </c>
    </row>
    <row r="182" spans="4:18" x14ac:dyDescent="0.35">
      <c r="E182">
        <v>1</v>
      </c>
      <c r="F182">
        <v>2</v>
      </c>
      <c r="G182">
        <v>3</v>
      </c>
      <c r="K182">
        <v>1</v>
      </c>
      <c r="L182">
        <v>2</v>
      </c>
      <c r="M182">
        <v>3</v>
      </c>
    </row>
    <row r="183" spans="4:18" x14ac:dyDescent="0.35">
      <c r="D183">
        <v>1</v>
      </c>
      <c r="E183" s="16">
        <f>$F$2</f>
        <v>0.94640000000000002</v>
      </c>
      <c r="F183" s="16">
        <f>$G$2</f>
        <v>2.6100000000000002E-2</v>
      </c>
      <c r="G183" s="16">
        <f>$H$2</f>
        <v>2.75E-2</v>
      </c>
      <c r="K183" s="16">
        <f>D184*E183</f>
        <v>2.5876234463788797E-6</v>
      </c>
      <c r="L183" s="16">
        <f>D184*F183</f>
        <v>7.1361973743119999E-8</v>
      </c>
      <c r="M183" s="16">
        <f>D184*G183</f>
        <v>7.5189819078000001E-8</v>
      </c>
      <c r="P183" s="16"/>
      <c r="Q183" s="16"/>
      <c r="R183" s="16"/>
    </row>
    <row r="184" spans="4:18" x14ac:dyDescent="0.35">
      <c r="D184" s="16">
        <f>'[1]1корзина(3кв)'!D67*'[1]1корзина(3кв)'!E66</f>
        <v>2.7341752391999998E-6</v>
      </c>
    </row>
    <row r="186" spans="4:18" x14ac:dyDescent="0.35">
      <c r="E186">
        <v>1</v>
      </c>
      <c r="F186">
        <v>2</v>
      </c>
      <c r="G186">
        <v>3</v>
      </c>
      <c r="K186">
        <v>1</v>
      </c>
      <c r="L186">
        <v>2</v>
      </c>
      <c r="M186">
        <v>3</v>
      </c>
    </row>
    <row r="187" spans="4:18" x14ac:dyDescent="0.35">
      <c r="D187">
        <v>2</v>
      </c>
      <c r="E187" s="16">
        <f>$I$2</f>
        <v>0.14080000000000001</v>
      </c>
      <c r="F187" s="16">
        <f>$J$2</f>
        <v>0.32979999999999998</v>
      </c>
      <c r="G187" s="16">
        <f>$K$2</f>
        <v>0.52939999999999998</v>
      </c>
      <c r="K187" s="16">
        <f>D188*E187</f>
        <v>1.1356670273541122E-5</v>
      </c>
      <c r="L187" s="16">
        <f>D188*F187</f>
        <v>2.6601064319700721E-5</v>
      </c>
      <c r="M187" s="16">
        <f>D188*G187</f>
        <v>4.2700434963158164E-5</v>
      </c>
      <c r="P187" s="16"/>
      <c r="Q187" s="16"/>
      <c r="R187" s="16"/>
    </row>
    <row r="188" spans="4:18" x14ac:dyDescent="0.35">
      <c r="D188" s="16">
        <f>'[1]1корзина(3кв)'!D67*'[1]1корзина(3кв)'!F66</f>
        <v>8.0658169556400007E-5</v>
      </c>
    </row>
    <row r="190" spans="4:18" x14ac:dyDescent="0.35">
      <c r="E190">
        <v>1</v>
      </c>
      <c r="F190">
        <v>2</v>
      </c>
      <c r="G190">
        <v>3</v>
      </c>
      <c r="K190">
        <v>1</v>
      </c>
      <c r="L190">
        <v>2</v>
      </c>
      <c r="M190">
        <v>3</v>
      </c>
    </row>
    <row r="191" spans="4:18" x14ac:dyDescent="0.35">
      <c r="D191">
        <v>3</v>
      </c>
      <c r="E191" s="16">
        <f>$L$2</f>
        <v>5.9999999999999995E-4</v>
      </c>
      <c r="F191" s="16">
        <f>$M$2</f>
        <v>1.77E-2</v>
      </c>
      <c r="G191" s="16">
        <f>$N$2</f>
        <v>0.98170000000000002</v>
      </c>
      <c r="K191" s="16">
        <f>D192*E191</f>
        <v>2.6841398323226399E-6</v>
      </c>
      <c r="L191" s="16">
        <f>D192*F191</f>
        <v>7.918212505351789E-5</v>
      </c>
      <c r="M191" s="16">
        <f>D192*G191</f>
        <v>4.3917001223185599E-3</v>
      </c>
      <c r="P191" s="16"/>
      <c r="Q191" s="16"/>
      <c r="R191" s="16"/>
    </row>
    <row r="192" spans="4:18" x14ac:dyDescent="0.35">
      <c r="D192" s="16">
        <f>'[1]1корзина(3кв)'!D67*'[1]1корзина(3кв)'!G66</f>
        <v>4.4735663872044005E-3</v>
      </c>
    </row>
    <row r="194" spans="4:18" x14ac:dyDescent="0.35">
      <c r="E194">
        <v>1</v>
      </c>
      <c r="F194">
        <v>2</v>
      </c>
      <c r="G194">
        <v>3</v>
      </c>
      <c r="K194">
        <v>1</v>
      </c>
      <c r="L194">
        <v>2</v>
      </c>
      <c r="M194">
        <v>3</v>
      </c>
    </row>
    <row r="195" spans="4:18" x14ac:dyDescent="0.35">
      <c r="D195">
        <v>1</v>
      </c>
      <c r="E195" s="16">
        <f>$F$2</f>
        <v>0.94640000000000002</v>
      </c>
      <c r="F195" s="16">
        <f>$G$2</f>
        <v>2.6100000000000002E-2</v>
      </c>
      <c r="G195" s="16">
        <f>$H$2</f>
        <v>2.75E-2</v>
      </c>
      <c r="K195" s="16">
        <f>D196*E195</f>
        <v>7.4254906902758416E-6</v>
      </c>
      <c r="L195" s="16">
        <f>D196*F195</f>
        <v>2.0478160082016005E-7</v>
      </c>
      <c r="M195" s="16">
        <f>D196*G195</f>
        <v>2.1576605450400005E-7</v>
      </c>
      <c r="P195" s="16"/>
      <c r="Q195" s="16"/>
      <c r="R195" s="16"/>
    </row>
    <row r="196" spans="4:18" x14ac:dyDescent="0.35">
      <c r="D196" s="16">
        <f>'[1]1корзина(3кв)'!D71*'[1]1корзина(3кв)'!E70</f>
        <v>7.8460383456000013E-6</v>
      </c>
    </row>
    <row r="198" spans="4:18" x14ac:dyDescent="0.35">
      <c r="E198">
        <v>1</v>
      </c>
      <c r="F198">
        <v>2</v>
      </c>
      <c r="G198">
        <v>3</v>
      </c>
      <c r="K198">
        <v>1</v>
      </c>
      <c r="L198">
        <v>2</v>
      </c>
      <c r="M198">
        <v>3</v>
      </c>
    </row>
    <row r="199" spans="4:18" x14ac:dyDescent="0.35">
      <c r="D199">
        <v>2</v>
      </c>
      <c r="E199" s="16">
        <f>$I$2</f>
        <v>0.14080000000000001</v>
      </c>
      <c r="F199" s="16">
        <f>$J$2</f>
        <v>0.32979999999999998</v>
      </c>
      <c r="G199" s="16">
        <f>$K$2</f>
        <v>0.52939999999999998</v>
      </c>
      <c r="K199" s="16">
        <f>D200*E199</f>
        <v>3.0466239851520008E-8</v>
      </c>
      <c r="L199" s="16">
        <f>D200*F199</f>
        <v>7.1361973743119999E-8</v>
      </c>
      <c r="M199" s="16">
        <f>D200*G199</f>
        <v>1.1455133080536001E-7</v>
      </c>
      <c r="P199" s="16"/>
      <c r="Q199" s="16"/>
      <c r="R199" s="16"/>
    </row>
    <row r="200" spans="4:18" x14ac:dyDescent="0.35">
      <c r="D200" s="16">
        <f>'[1]1корзина(3кв)'!D71*'[1]1корзина(3кв)'!F70</f>
        <v>2.1637954440000003E-7</v>
      </c>
    </row>
    <row r="202" spans="4:18" x14ac:dyDescent="0.35">
      <c r="E202">
        <v>1</v>
      </c>
      <c r="F202">
        <v>2</v>
      </c>
      <c r="G202">
        <v>3</v>
      </c>
      <c r="K202">
        <v>1</v>
      </c>
      <c r="L202">
        <v>2</v>
      </c>
      <c r="M202">
        <v>3</v>
      </c>
    </row>
    <row r="203" spans="4:18" x14ac:dyDescent="0.35">
      <c r="D203">
        <v>3</v>
      </c>
      <c r="E203" s="16">
        <f>$L$2</f>
        <v>5.9999999999999995E-4</v>
      </c>
      <c r="F203" s="16">
        <f>$M$2</f>
        <v>1.77E-2</v>
      </c>
      <c r="G203" s="16">
        <f>$N$2</f>
        <v>0.98170000000000002</v>
      </c>
      <c r="K203" s="16">
        <f>D204*E203</f>
        <v>1.3679166599999999E-10</v>
      </c>
      <c r="L203" s="16">
        <f>D204*F203</f>
        <v>4.0353541470000002E-9</v>
      </c>
      <c r="M203" s="16">
        <f>D204*G203</f>
        <v>2.2381396418700002E-7</v>
      </c>
      <c r="P203" s="16"/>
      <c r="Q203" s="16"/>
      <c r="R203" s="16"/>
    </row>
    <row r="204" spans="4:18" x14ac:dyDescent="0.35">
      <c r="D204" s="16">
        <f>'[1]1корзина(3кв)'!D71*'[1]1корзина(3кв)'!G70</f>
        <v>2.2798611000000002E-7</v>
      </c>
    </row>
    <row r="206" spans="4:18" x14ac:dyDescent="0.35">
      <c r="E206">
        <v>1</v>
      </c>
      <c r="F206">
        <v>2</v>
      </c>
      <c r="G206">
        <v>3</v>
      </c>
      <c r="K206">
        <v>1</v>
      </c>
      <c r="L206">
        <v>2</v>
      </c>
      <c r="M206">
        <v>3</v>
      </c>
    </row>
    <row r="207" spans="4:18" x14ac:dyDescent="0.35">
      <c r="D207">
        <v>1</v>
      </c>
      <c r="E207" s="16">
        <f>$F$2</f>
        <v>0.94640000000000002</v>
      </c>
      <c r="F207" s="16">
        <f>$G$2</f>
        <v>2.6100000000000002E-2</v>
      </c>
      <c r="G207" s="16">
        <f>$H$2</f>
        <v>2.75E-2</v>
      </c>
      <c r="K207" s="16">
        <f>D208*E207</f>
        <v>3.2589304872284166E-5</v>
      </c>
      <c r="L207" s="16">
        <f>D208*F207</f>
        <v>8.9875407561984022E-7</v>
      </c>
      <c r="M207" s="16">
        <f>D208*G207</f>
        <v>9.4696310649600015E-7</v>
      </c>
      <c r="P207" s="16"/>
      <c r="Q207" s="16"/>
      <c r="R207" s="16"/>
    </row>
    <row r="208" spans="4:18" x14ac:dyDescent="0.35">
      <c r="D208" s="16">
        <f>'[1]1корзина(3кв)'!D75*'[1]1корзина(3кв)'!E74</f>
        <v>3.4435022054400005E-5</v>
      </c>
    </row>
    <row r="210" spans="4:13" x14ac:dyDescent="0.35">
      <c r="E210">
        <v>1</v>
      </c>
      <c r="F210">
        <v>2</v>
      </c>
      <c r="G210">
        <v>3</v>
      </c>
      <c r="K210">
        <v>1</v>
      </c>
      <c r="L210">
        <v>2</v>
      </c>
      <c r="M210">
        <v>3</v>
      </c>
    </row>
    <row r="211" spans="4:13" x14ac:dyDescent="0.35">
      <c r="D211">
        <v>2</v>
      </c>
      <c r="E211" s="16">
        <f>$I$2</f>
        <v>0.14080000000000001</v>
      </c>
      <c r="F211" s="16">
        <f>$J$2</f>
        <v>0.32979999999999998</v>
      </c>
      <c r="G211" s="16">
        <f>$K$2</f>
        <v>0.52939999999999998</v>
      </c>
      <c r="K211" s="16">
        <f>D212*E211</f>
        <v>1.135667027354112E-5</v>
      </c>
      <c r="L211" s="16">
        <f>D212*F211</f>
        <v>2.6601064319700717E-5</v>
      </c>
      <c r="M211" s="16">
        <f>D212*G211</f>
        <v>4.2700434963158157E-5</v>
      </c>
    </row>
    <row r="212" spans="4:13" x14ac:dyDescent="0.35">
      <c r="D212" s="16">
        <f>'[1]1корзина(3кв)'!D75*'[1]1корзина(3кв)'!F74</f>
        <v>8.0658169556399993E-5</v>
      </c>
    </row>
    <row r="214" spans="4:13" x14ac:dyDescent="0.35">
      <c r="E214">
        <v>1</v>
      </c>
      <c r="F214">
        <v>2</v>
      </c>
      <c r="G214">
        <v>3</v>
      </c>
      <c r="K214">
        <v>1</v>
      </c>
      <c r="L214">
        <v>2</v>
      </c>
      <c r="M214">
        <v>3</v>
      </c>
    </row>
    <row r="215" spans="4:13" x14ac:dyDescent="0.35">
      <c r="D215">
        <v>3</v>
      </c>
      <c r="E215" s="16">
        <f>$L$2</f>
        <v>5.9999999999999995E-4</v>
      </c>
      <c r="F215" s="16">
        <f>$M$2</f>
        <v>1.77E-2</v>
      </c>
      <c r="G215" s="16">
        <f>$N$2</f>
        <v>0.98170000000000002</v>
      </c>
      <c r="K215" s="16">
        <f>D216*E215</f>
        <v>7.7684235833519994E-8</v>
      </c>
      <c r="L215" s="16">
        <f>D216*F215</f>
        <v>2.2916849570888402E-6</v>
      </c>
      <c r="M215" s="16">
        <f>D216*G215</f>
        <v>1.2710435719627764E-4</v>
      </c>
    </row>
    <row r="216" spans="4:13" x14ac:dyDescent="0.35">
      <c r="D216" s="16">
        <f>'[1]1корзина(3кв)'!D75*'[1]1корзина(3кв)'!G74</f>
        <v>1.294737263892E-4</v>
      </c>
    </row>
    <row r="218" spans="4:13" x14ac:dyDescent="0.35">
      <c r="E218">
        <v>1</v>
      </c>
      <c r="F218">
        <v>2</v>
      </c>
      <c r="G218">
        <v>3</v>
      </c>
      <c r="K218">
        <v>1</v>
      </c>
      <c r="L218">
        <v>2</v>
      </c>
      <c r="M218">
        <v>3</v>
      </c>
    </row>
    <row r="219" spans="4:13" x14ac:dyDescent="0.35">
      <c r="D219">
        <v>1</v>
      </c>
      <c r="E219" s="16">
        <f>$F$2</f>
        <v>0.94640000000000002</v>
      </c>
      <c r="F219" s="16">
        <f>$G$2</f>
        <v>2.6100000000000002E-2</v>
      </c>
      <c r="G219" s="16">
        <f>$H$2</f>
        <v>2.75E-2</v>
      </c>
      <c r="K219" s="16">
        <f>D220*E219</f>
        <v>7.7024558438755199E-6</v>
      </c>
      <c r="L219" s="16">
        <f>D220*F219</f>
        <v>2.1241979873747998E-7</v>
      </c>
      <c r="M219" s="16">
        <f>D220*G219</f>
        <v>2.2381396418699999E-7</v>
      </c>
    </row>
    <row r="220" spans="4:13" x14ac:dyDescent="0.35">
      <c r="D220" s="16">
        <f>'[1]1корзина(3кв)'!D79*'[1]1корзина(3кв)'!E78</f>
        <v>8.1386896067999992E-6</v>
      </c>
    </row>
    <row r="222" spans="4:13" x14ac:dyDescent="0.35">
      <c r="E222">
        <v>1</v>
      </c>
      <c r="F222">
        <v>2</v>
      </c>
      <c r="G222">
        <v>3</v>
      </c>
      <c r="K222">
        <v>1</v>
      </c>
      <c r="L222">
        <v>2</v>
      </c>
      <c r="M222">
        <v>3</v>
      </c>
    </row>
    <row r="223" spans="4:13" x14ac:dyDescent="0.35">
      <c r="D223">
        <v>2</v>
      </c>
      <c r="E223" s="16">
        <f>$I$2</f>
        <v>0.14080000000000001</v>
      </c>
      <c r="F223" s="16">
        <f>$J$2</f>
        <v>0.32979999999999998</v>
      </c>
      <c r="G223" s="16">
        <f>$K$2</f>
        <v>0.52939999999999998</v>
      </c>
      <c r="K223" s="16">
        <f>D224*E223</f>
        <v>3.3804861150804484E-5</v>
      </c>
      <c r="L223" s="16">
        <f>D224*F223</f>
        <v>7.918212505351789E-5</v>
      </c>
      <c r="M223" s="16">
        <f>D224*G223</f>
        <v>1.2710435719627766E-4</v>
      </c>
    </row>
    <row r="224" spans="4:13" x14ac:dyDescent="0.35">
      <c r="D224" s="16">
        <f>'[1]1корзина(3кв)'!D79*'[1]1корзина(3кв)'!F78</f>
        <v>2.4009134340060003E-4</v>
      </c>
    </row>
    <row r="226" spans="4:13" x14ac:dyDescent="0.35">
      <c r="E226">
        <v>1</v>
      </c>
      <c r="F226">
        <v>2</v>
      </c>
      <c r="G226">
        <v>3</v>
      </c>
      <c r="K226">
        <v>1</v>
      </c>
      <c r="L226">
        <v>2</v>
      </c>
      <c r="M226">
        <v>3</v>
      </c>
    </row>
    <row r="227" spans="4:13" x14ac:dyDescent="0.35">
      <c r="D227">
        <v>3</v>
      </c>
      <c r="E227" s="16">
        <f>$L$2</f>
        <v>5.9999999999999995E-4</v>
      </c>
      <c r="F227" s="16">
        <f>$M$2</f>
        <v>1.77E-2</v>
      </c>
      <c r="G227" s="16">
        <f>$N$2</f>
        <v>0.98170000000000002</v>
      </c>
      <c r="K227" s="16">
        <f>D228*E227</f>
        <v>7.9897515869955607E-6</v>
      </c>
      <c r="L227" s="16">
        <f>D228*F227</f>
        <v>2.3569767181636905E-4</v>
      </c>
      <c r="M227" s="16">
        <f>D228*G227</f>
        <v>1.3072565221589238E-2</v>
      </c>
    </row>
    <row r="228" spans="4:13" x14ac:dyDescent="0.35">
      <c r="D228" s="16">
        <f>'[1]1корзина(3кв)'!D79*'[1]1корзина(3кв)'!G78</f>
        <v>1.3316252644992602E-2</v>
      </c>
    </row>
    <row r="230" spans="4:13" x14ac:dyDescent="0.35">
      <c r="E230">
        <v>1</v>
      </c>
      <c r="F230">
        <v>2</v>
      </c>
      <c r="G230">
        <v>3</v>
      </c>
      <c r="K230">
        <v>1</v>
      </c>
      <c r="L230">
        <v>2</v>
      </c>
      <c r="M230">
        <v>3</v>
      </c>
    </row>
    <row r="231" spans="4:13" x14ac:dyDescent="0.35">
      <c r="D231">
        <v>1</v>
      </c>
      <c r="E231" s="16">
        <f>$F$2</f>
        <v>0.94640000000000002</v>
      </c>
      <c r="F231" s="16">
        <f>$G$2</f>
        <v>2.6100000000000002E-2</v>
      </c>
      <c r="G231" s="16">
        <f>$H$2</f>
        <v>2.75E-2</v>
      </c>
      <c r="K231" s="16">
        <f>D232*E231</f>
        <v>1.3986470674175996E-5</v>
      </c>
      <c r="L231" s="16">
        <f>D232*F231</f>
        <v>3.8572156022399991E-7</v>
      </c>
      <c r="M231" s="16">
        <f>D232*G231</f>
        <v>4.0641160559999991E-7</v>
      </c>
    </row>
    <row r="232" spans="4:13" x14ac:dyDescent="0.35">
      <c r="D232" s="16">
        <f>'[1]1корзина(3кв)'!D83*'[1]1корзина(3кв)'!E82</f>
        <v>1.4778603839999996E-5</v>
      </c>
    </row>
    <row r="234" spans="4:13" x14ac:dyDescent="0.35">
      <c r="E234">
        <v>1</v>
      </c>
      <c r="F234">
        <v>2</v>
      </c>
      <c r="G234">
        <v>3</v>
      </c>
      <c r="K234">
        <v>1</v>
      </c>
      <c r="L234">
        <v>2</v>
      </c>
      <c r="M234">
        <v>3</v>
      </c>
    </row>
    <row r="235" spans="4:13" x14ac:dyDescent="0.35">
      <c r="D235">
        <v>2</v>
      </c>
      <c r="E235" s="16">
        <f>$I$2</f>
        <v>0.14080000000000001</v>
      </c>
      <c r="F235" s="16">
        <f>$J$2</f>
        <v>0.32979999999999998</v>
      </c>
      <c r="G235" s="16">
        <f>$K$2</f>
        <v>0.52939999999999998</v>
      </c>
      <c r="K235" s="16">
        <f>D236*E235</f>
        <v>5.7385456128E-8</v>
      </c>
      <c r="L235" s="16">
        <f>D236*F235</f>
        <v>1.3441564936799998E-7</v>
      </c>
      <c r="M235" s="16">
        <f>D236*G235</f>
        <v>2.1576605450399997E-7</v>
      </c>
    </row>
    <row r="236" spans="4:13" x14ac:dyDescent="0.35">
      <c r="D236" s="16">
        <f>'[1]1корзина(3кв)'!D83*'[1]1корзина(3кв)'!F82</f>
        <v>4.0756715999999996E-7</v>
      </c>
    </row>
    <row r="238" spans="4:13" x14ac:dyDescent="0.35">
      <c r="E238">
        <v>1</v>
      </c>
      <c r="F238">
        <v>2</v>
      </c>
      <c r="G238">
        <v>3</v>
      </c>
      <c r="K238">
        <v>1</v>
      </c>
      <c r="L238">
        <v>2</v>
      </c>
      <c r="M238">
        <v>3</v>
      </c>
    </row>
    <row r="239" spans="4:13" x14ac:dyDescent="0.35">
      <c r="D239">
        <v>3</v>
      </c>
      <c r="E239" s="16">
        <f>$L$2</f>
        <v>5.9999999999999995E-4</v>
      </c>
      <c r="F239" s="16">
        <f>$M$2</f>
        <v>1.77E-2</v>
      </c>
      <c r="G239" s="16">
        <f>$N$2</f>
        <v>0.98170000000000002</v>
      </c>
      <c r="K239" s="16">
        <f>D240*E239</f>
        <v>2.5765739999999991E-10</v>
      </c>
      <c r="L239" s="16">
        <f>D240*F239</f>
        <v>7.6008932999999988E-9</v>
      </c>
      <c r="M239" s="16">
        <f>D240*G239</f>
        <v>4.2157044929999993E-7</v>
      </c>
    </row>
    <row r="240" spans="4:13" x14ac:dyDescent="0.35">
      <c r="D240" s="16">
        <f>'[1]1корзина(3кв)'!D83*'[1]1корзина(3кв)'!G82</f>
        <v>4.2942899999999992E-7</v>
      </c>
    </row>
    <row r="242" spans="4:13" x14ac:dyDescent="0.35">
      <c r="E242">
        <v>1</v>
      </c>
      <c r="F242">
        <v>2</v>
      </c>
      <c r="G242">
        <v>3</v>
      </c>
      <c r="K242">
        <v>1</v>
      </c>
      <c r="L242">
        <v>2</v>
      </c>
      <c r="M242">
        <v>3</v>
      </c>
    </row>
    <row r="243" spans="4:13" x14ac:dyDescent="0.35">
      <c r="D243">
        <v>1</v>
      </c>
      <c r="E243" s="16">
        <f>$F$2</f>
        <v>0.94640000000000002</v>
      </c>
      <c r="F243" s="16">
        <f>$G$2</f>
        <v>2.6100000000000002E-2</v>
      </c>
      <c r="G243" s="16">
        <f>$H$2</f>
        <v>2.75E-2</v>
      </c>
      <c r="K243" s="16">
        <f>D244*E243</f>
        <v>5.7385456127999993E-8</v>
      </c>
      <c r="L243" s="16">
        <f>D244*F243</f>
        <v>1.5825870719999999E-9</v>
      </c>
      <c r="M243" s="16">
        <f>D244*G243</f>
        <v>1.6674767999999999E-9</v>
      </c>
    </row>
    <row r="244" spans="4:13" x14ac:dyDescent="0.35">
      <c r="D244" s="16">
        <f>'[1]1корзина(3кв)'!D87*'[1]1корзина(3кв)'!E86</f>
        <v>6.0635519999999994E-8</v>
      </c>
    </row>
    <row r="246" spans="4:13" x14ac:dyDescent="0.35">
      <c r="E246">
        <v>1</v>
      </c>
      <c r="F246">
        <v>2</v>
      </c>
      <c r="G246">
        <v>3</v>
      </c>
      <c r="K246">
        <v>1</v>
      </c>
      <c r="L246">
        <v>2</v>
      </c>
      <c r="M246">
        <v>3</v>
      </c>
    </row>
    <row r="247" spans="4:13" x14ac:dyDescent="0.35">
      <c r="D247">
        <v>2</v>
      </c>
      <c r="E247" s="16">
        <f>$I$2</f>
        <v>0.14080000000000001</v>
      </c>
      <c r="F247" s="16">
        <f>$J$2</f>
        <v>0.32979999999999998</v>
      </c>
      <c r="G247" s="16">
        <f>$K$2</f>
        <v>0.52939999999999998</v>
      </c>
      <c r="K247" s="16">
        <f>D248*E247</f>
        <v>1.9997594495999996E-8</v>
      </c>
      <c r="L247" s="16">
        <f>D248*F247</f>
        <v>4.6840956425999989E-8</v>
      </c>
      <c r="M247" s="16">
        <f>D248*G247</f>
        <v>7.5189819077999987E-8</v>
      </c>
    </row>
    <row r="248" spans="4:13" x14ac:dyDescent="0.35">
      <c r="D248" s="16">
        <f>'[1]1корзина(3кв)'!D87*'[1]1корзина(3кв)'!F86</f>
        <v>1.4202836999999997E-7</v>
      </c>
    </row>
    <row r="250" spans="4:13" x14ac:dyDescent="0.35">
      <c r="E250">
        <v>1</v>
      </c>
      <c r="F250">
        <v>2</v>
      </c>
      <c r="G250">
        <v>3</v>
      </c>
      <c r="K250">
        <v>1</v>
      </c>
      <c r="L250">
        <v>2</v>
      </c>
      <c r="M250">
        <v>3</v>
      </c>
    </row>
    <row r="251" spans="4:13" x14ac:dyDescent="0.35">
      <c r="D251">
        <v>3</v>
      </c>
      <c r="E251" s="16">
        <f>$L$2</f>
        <v>5.9999999999999995E-4</v>
      </c>
      <c r="F251" s="16">
        <f>$M$2</f>
        <v>1.77E-2</v>
      </c>
      <c r="G251" s="16">
        <f>$N$2</f>
        <v>0.98170000000000002</v>
      </c>
      <c r="K251" s="16">
        <f>D252*E251</f>
        <v>1.3679166599999997E-10</v>
      </c>
      <c r="L251" s="16">
        <f>D252*F251</f>
        <v>4.0353541469999994E-9</v>
      </c>
      <c r="M251" s="16">
        <f>D252*G251</f>
        <v>2.2381396418699996E-7</v>
      </c>
    </row>
    <row r="252" spans="4:13" x14ac:dyDescent="0.35">
      <c r="D252" s="16">
        <f>'[1]1корзина(3кв)'!D87*'[1]1корзина(3кв)'!G86</f>
        <v>2.2798610999999996E-7</v>
      </c>
    </row>
    <row r="254" spans="4:13" x14ac:dyDescent="0.35">
      <c r="E254">
        <v>1</v>
      </c>
      <c r="F254">
        <v>2</v>
      </c>
      <c r="G254">
        <v>3</v>
      </c>
      <c r="K254">
        <v>1</v>
      </c>
      <c r="L254">
        <v>2</v>
      </c>
      <c r="M254">
        <v>3</v>
      </c>
    </row>
    <row r="255" spans="4:13" x14ac:dyDescent="0.35">
      <c r="D255">
        <v>1</v>
      </c>
      <c r="E255" s="16">
        <f>$F$2</f>
        <v>0.94640000000000002</v>
      </c>
      <c r="F255" s="16">
        <f>$G$2</f>
        <v>2.6100000000000002E-2</v>
      </c>
      <c r="G255" s="16">
        <f>$H$2</f>
        <v>2.75E-2</v>
      </c>
      <c r="K255" s="16">
        <f>D256*E255</f>
        <v>2.5765739999999996E-10</v>
      </c>
      <c r="L255" s="16">
        <f>D256*F255</f>
        <v>7.1057249999999994E-12</v>
      </c>
      <c r="M255" s="16">
        <f>D256*G255</f>
        <v>7.4868749999999988E-12</v>
      </c>
    </row>
    <row r="256" spans="4:13" x14ac:dyDescent="0.35">
      <c r="D256" s="16">
        <f>'[1]1корзина(3кв)'!D91*'[1]1корзина(3кв)'!E90</f>
        <v>2.7224999999999996E-10</v>
      </c>
    </row>
    <row r="258" spans="4:13" x14ac:dyDescent="0.35">
      <c r="E258">
        <v>1</v>
      </c>
      <c r="F258">
        <v>2</v>
      </c>
      <c r="G258">
        <v>3</v>
      </c>
      <c r="K258">
        <v>1</v>
      </c>
      <c r="L258">
        <v>2</v>
      </c>
      <c r="M258">
        <v>3</v>
      </c>
    </row>
    <row r="259" spans="4:13" x14ac:dyDescent="0.35">
      <c r="D259">
        <v>2</v>
      </c>
      <c r="E259" s="16">
        <f>$I$2</f>
        <v>0.14080000000000001</v>
      </c>
      <c r="F259" s="16">
        <f>$J$2</f>
        <v>0.32979999999999998</v>
      </c>
      <c r="G259" s="16">
        <f>$K$2</f>
        <v>0.52939999999999998</v>
      </c>
      <c r="K259" s="16">
        <f>D260*E259</f>
        <v>1.1308176000000001E-9</v>
      </c>
      <c r="L259" s="16">
        <f>D260*F259</f>
        <v>2.6487474749999996E-9</v>
      </c>
      <c r="M259" s="16">
        <f>D260*G259</f>
        <v>4.251809925E-9</v>
      </c>
    </row>
    <row r="260" spans="4:13" x14ac:dyDescent="0.35">
      <c r="D260" s="16">
        <f>'[1]1корзина(3кв)'!D91*'[1]1корзина(3кв)'!F90</f>
        <v>8.0313749999999997E-9</v>
      </c>
    </row>
    <row r="262" spans="4:13" x14ac:dyDescent="0.35">
      <c r="E262">
        <v>1</v>
      </c>
      <c r="F262">
        <v>2</v>
      </c>
      <c r="G262">
        <v>3</v>
      </c>
      <c r="K262">
        <v>1</v>
      </c>
      <c r="L262">
        <v>2</v>
      </c>
      <c r="M262">
        <v>3</v>
      </c>
    </row>
    <row r="263" spans="4:13" x14ac:dyDescent="0.35">
      <c r="D263">
        <v>3</v>
      </c>
      <c r="E263" s="16">
        <f>$L$2</f>
        <v>5.9999999999999995E-4</v>
      </c>
      <c r="F263" s="16">
        <f>$M$2</f>
        <v>1.77E-2</v>
      </c>
      <c r="G263" s="16">
        <f>$N$2</f>
        <v>0.98170000000000002</v>
      </c>
      <c r="K263" s="16">
        <f>D264*E263</f>
        <v>2.6726782499999993E-10</v>
      </c>
      <c r="L263" s="16">
        <f>D264*F263</f>
        <v>7.8844008374999998E-9</v>
      </c>
      <c r="M263" s="16">
        <f>D264*G263</f>
        <v>4.3729470633749995E-7</v>
      </c>
    </row>
    <row r="264" spans="4:13" x14ac:dyDescent="0.35">
      <c r="D264" s="16">
        <f>'[1]1корзина(3кв)'!D91*'[1]1корзина(3кв)'!G90</f>
        <v>4.4544637499999993E-7</v>
      </c>
    </row>
    <row r="266" spans="4:13" x14ac:dyDescent="0.35">
      <c r="E266">
        <v>1</v>
      </c>
      <c r="F266">
        <v>2</v>
      </c>
      <c r="G266">
        <v>3</v>
      </c>
      <c r="K266">
        <v>1</v>
      </c>
      <c r="L266">
        <v>2</v>
      </c>
      <c r="M266">
        <v>3</v>
      </c>
    </row>
    <row r="267" spans="4:13" x14ac:dyDescent="0.35">
      <c r="D267">
        <v>1</v>
      </c>
      <c r="E267" s="16">
        <f>$F$2</f>
        <v>0.94640000000000002</v>
      </c>
      <c r="F267" s="16">
        <f>$G$2</f>
        <v>2.6100000000000002E-2</v>
      </c>
      <c r="G267" s="16">
        <f>$H$2</f>
        <v>2.75E-2</v>
      </c>
      <c r="K267" s="16">
        <f>D268*E267</f>
        <v>6.1384408909824018E-5</v>
      </c>
      <c r="L267" s="16">
        <f>D268*F267</f>
        <v>1.6928709557760005E-6</v>
      </c>
      <c r="M267" s="16">
        <f>D268*G267</f>
        <v>1.7836762944000002E-6</v>
      </c>
    </row>
    <row r="268" spans="4:13" x14ac:dyDescent="0.35">
      <c r="D268" s="16">
        <f>'[1]1корзина(3кв)'!D95*'[1]1корзина(3кв)'!E94</f>
        <v>6.4860956160000012E-5</v>
      </c>
    </row>
    <row r="270" spans="4:13" x14ac:dyDescent="0.35">
      <c r="E270">
        <v>1</v>
      </c>
      <c r="F270">
        <v>2</v>
      </c>
      <c r="G270">
        <v>3</v>
      </c>
      <c r="K270">
        <v>1</v>
      </c>
      <c r="L270">
        <v>2</v>
      </c>
      <c r="M270">
        <v>3</v>
      </c>
    </row>
    <row r="271" spans="4:13" x14ac:dyDescent="0.35">
      <c r="D271">
        <v>2</v>
      </c>
      <c r="E271" s="16">
        <f>$I$2</f>
        <v>0.14080000000000001</v>
      </c>
      <c r="F271" s="16">
        <f>$J$2</f>
        <v>0.32979999999999998</v>
      </c>
      <c r="G271" s="16">
        <f>$K$2</f>
        <v>0.52939999999999998</v>
      </c>
      <c r="K271" s="16">
        <f>D272*E271</f>
        <v>2.5185569587200007E-7</v>
      </c>
      <c r="L271" s="16">
        <f>D272*F271</f>
        <v>5.8992903763200002E-7</v>
      </c>
      <c r="M271" s="16">
        <f>D272*G271</f>
        <v>9.4696310649600004E-7</v>
      </c>
    </row>
    <row r="272" spans="4:13" x14ac:dyDescent="0.35">
      <c r="D272" s="16">
        <f>'[1]1корзина(3кв)'!D95*'[1]1корзина(3кв)'!F94</f>
        <v>1.7887478400000002E-6</v>
      </c>
    </row>
    <row r="274" spans="4:13" x14ac:dyDescent="0.35">
      <c r="E274">
        <v>1</v>
      </c>
      <c r="F274">
        <v>2</v>
      </c>
      <c r="G274">
        <v>3</v>
      </c>
      <c r="K274">
        <v>1</v>
      </c>
      <c r="L274">
        <v>2</v>
      </c>
      <c r="M274">
        <v>3</v>
      </c>
    </row>
    <row r="275" spans="4:13" x14ac:dyDescent="0.35">
      <c r="D275">
        <v>3</v>
      </c>
      <c r="E275" s="16">
        <f>$L$2</f>
        <v>5.9999999999999995E-4</v>
      </c>
      <c r="F275" s="16">
        <f>$M$2</f>
        <v>1.77E-2</v>
      </c>
      <c r="G275" s="16">
        <f>$N$2</f>
        <v>0.98170000000000002</v>
      </c>
      <c r="K275" s="16">
        <f>D276*E275</f>
        <v>1.1308176000000001E-9</v>
      </c>
      <c r="L275" s="16">
        <f>D276*F275</f>
        <v>3.3359119200000006E-8</v>
      </c>
      <c r="M275" s="16">
        <f>D276*G275</f>
        <v>1.8502060632000003E-6</v>
      </c>
    </row>
    <row r="276" spans="4:13" x14ac:dyDescent="0.35">
      <c r="D276" s="16">
        <f>'[1]1корзина(3кв)'!D95*'[1]1корзина(3кв)'!G94</f>
        <v>1.8846960000000002E-6</v>
      </c>
    </row>
    <row r="278" spans="4:13" x14ac:dyDescent="0.35">
      <c r="E278">
        <v>1</v>
      </c>
      <c r="F278">
        <v>2</v>
      </c>
      <c r="G278">
        <v>3</v>
      </c>
      <c r="K278">
        <v>1</v>
      </c>
      <c r="L278">
        <v>2</v>
      </c>
      <c r="M278">
        <v>3</v>
      </c>
    </row>
    <row r="279" spans="4:13" x14ac:dyDescent="0.35">
      <c r="D279">
        <v>1</v>
      </c>
      <c r="E279" s="16">
        <f>$F$2</f>
        <v>0.94640000000000002</v>
      </c>
      <c r="F279" s="16">
        <f>$G$2</f>
        <v>2.6100000000000002E-2</v>
      </c>
      <c r="G279" s="16">
        <f>$H$2</f>
        <v>2.75E-2</v>
      </c>
      <c r="K279" s="16">
        <f>D280*E279</f>
        <v>2.1391143341568005E-5</v>
      </c>
      <c r="L279" s="16">
        <f>D280*F279</f>
        <v>5.8992903763200012E-7</v>
      </c>
      <c r="M279" s="16">
        <f>D280*G279</f>
        <v>6.2157274080000008E-7</v>
      </c>
    </row>
    <row r="280" spans="4:13" x14ac:dyDescent="0.35">
      <c r="D280" s="16">
        <f>'[1]1корзина(3кв)'!D99*'[1]1корзина(3кв)'!E98</f>
        <v>2.2602645120000004E-5</v>
      </c>
    </row>
    <row r="282" spans="4:13" x14ac:dyDescent="0.35">
      <c r="E282">
        <v>1</v>
      </c>
      <c r="F282">
        <v>2</v>
      </c>
      <c r="G282">
        <v>3</v>
      </c>
      <c r="K282">
        <v>1</v>
      </c>
      <c r="L282">
        <v>2</v>
      </c>
      <c r="M282">
        <v>3</v>
      </c>
    </row>
    <row r="283" spans="4:13" x14ac:dyDescent="0.35">
      <c r="D283">
        <v>2</v>
      </c>
      <c r="E283" s="16">
        <f>$I$2</f>
        <v>0.14080000000000001</v>
      </c>
      <c r="F283" s="16">
        <f>$J$2</f>
        <v>0.32979999999999998</v>
      </c>
      <c r="G283" s="16">
        <f>$K$2</f>
        <v>0.52939999999999998</v>
      </c>
      <c r="K283" s="16">
        <f>D284*E283</f>
        <v>7.4543523605760003E-6</v>
      </c>
      <c r="L283" s="16">
        <f>D284*F283</f>
        <v>1.7460549776405999E-5</v>
      </c>
      <c r="M283" s="16">
        <f>D284*G283</f>
        <v>2.8027941333017998E-5</v>
      </c>
    </row>
    <row r="284" spans="4:13" x14ac:dyDescent="0.35">
      <c r="D284" s="16">
        <f>'[1]1корзина(3кв)'!D99*'[1]1корзина(3кв)'!F98</f>
        <v>5.2942843469999997E-5</v>
      </c>
    </row>
    <row r="286" spans="4:13" x14ac:dyDescent="0.35">
      <c r="E286">
        <v>1</v>
      </c>
      <c r="F286">
        <v>2</v>
      </c>
      <c r="G286">
        <v>3</v>
      </c>
      <c r="K286">
        <v>1</v>
      </c>
      <c r="L286">
        <v>2</v>
      </c>
      <c r="M286">
        <v>3</v>
      </c>
    </row>
    <row r="287" spans="4:13" x14ac:dyDescent="0.35">
      <c r="D287">
        <v>3</v>
      </c>
      <c r="E287" s="16">
        <f>$L$2</f>
        <v>5.9999999999999995E-4</v>
      </c>
      <c r="F287" s="16">
        <f>$M$2</f>
        <v>1.77E-2</v>
      </c>
      <c r="G287" s="16">
        <f>$N$2</f>
        <v>0.98170000000000002</v>
      </c>
      <c r="K287" s="16">
        <f>D288*E287</f>
        <v>5.0990796845999995E-8</v>
      </c>
      <c r="L287" s="16">
        <f>D288*F287</f>
        <v>1.5042285069570001E-6</v>
      </c>
      <c r="M287" s="16">
        <f>D288*G287</f>
        <v>8.3429442106196992E-5</v>
      </c>
    </row>
    <row r="288" spans="4:13" x14ac:dyDescent="0.35">
      <c r="D288" s="16">
        <f>'[1]1корзина(3кв)'!D99*'[1]1корзина(3кв)'!G98</f>
        <v>8.4984661409999996E-5</v>
      </c>
    </row>
    <row r="290" spans="4:13" x14ac:dyDescent="0.35">
      <c r="E290">
        <v>1</v>
      </c>
      <c r="F290">
        <v>2</v>
      </c>
      <c r="G290">
        <v>3</v>
      </c>
      <c r="K290">
        <v>1</v>
      </c>
      <c r="L290">
        <v>2</v>
      </c>
      <c r="M290">
        <v>3</v>
      </c>
    </row>
    <row r="291" spans="4:13" x14ac:dyDescent="0.35">
      <c r="D291">
        <v>1</v>
      </c>
      <c r="E291" s="16">
        <f>$F$2</f>
        <v>0.94640000000000002</v>
      </c>
      <c r="F291" s="16">
        <f>$G$2</f>
        <v>2.6100000000000002E-2</v>
      </c>
      <c r="G291" s="16">
        <f>$H$2</f>
        <v>2.75E-2</v>
      </c>
      <c r="K291" s="16">
        <f>D292*E291</f>
        <v>1.46324105928E-7</v>
      </c>
      <c r="L291" s="16">
        <f>D292*F291</f>
        <v>4.0353541469999994E-9</v>
      </c>
      <c r="M291" s="16">
        <f>D292*G291</f>
        <v>4.2518099249999992E-9</v>
      </c>
    </row>
    <row r="292" spans="4:13" x14ac:dyDescent="0.35">
      <c r="D292" s="16">
        <f>'[1]1корзина(3кв)'!D103*'[1]1корзина(3кв)'!E102</f>
        <v>1.5461126999999998E-7</v>
      </c>
    </row>
    <row r="294" spans="4:13" x14ac:dyDescent="0.35">
      <c r="E294">
        <v>1</v>
      </c>
      <c r="F294">
        <v>2</v>
      </c>
      <c r="G294">
        <v>3</v>
      </c>
      <c r="K294">
        <v>1</v>
      </c>
      <c r="L294">
        <v>2</v>
      </c>
      <c r="M294">
        <v>3</v>
      </c>
    </row>
    <row r="295" spans="4:13" x14ac:dyDescent="0.35">
      <c r="D295">
        <v>2</v>
      </c>
      <c r="E295" s="16">
        <f>$I$2</f>
        <v>0.14080000000000001</v>
      </c>
      <c r="F295" s="16">
        <f>$J$2</f>
        <v>0.32979999999999998</v>
      </c>
      <c r="G295" s="16">
        <f>$K$2</f>
        <v>0.52939999999999998</v>
      </c>
      <c r="K295" s="16">
        <f>D296*E295</f>
        <v>6.4219337107200008E-7</v>
      </c>
      <c r="L295" s="16">
        <f>D296*F295</f>
        <v>1.5042285069570001E-6</v>
      </c>
      <c r="M295" s="16">
        <f>D296*G295</f>
        <v>2.4146105869710002E-6</v>
      </c>
    </row>
    <row r="296" spans="4:13" x14ac:dyDescent="0.35">
      <c r="D296" s="16">
        <f>'[1]1корзина(3кв)'!D103*'[1]1корзина(3кв)'!F102</f>
        <v>4.5610324650000004E-6</v>
      </c>
    </row>
    <row r="298" spans="4:13" x14ac:dyDescent="0.35">
      <c r="E298">
        <v>1</v>
      </c>
      <c r="F298">
        <v>2</v>
      </c>
      <c r="G298">
        <v>3</v>
      </c>
      <c r="K298">
        <v>1</v>
      </c>
      <c r="L298">
        <v>2</v>
      </c>
      <c r="M298">
        <v>3</v>
      </c>
    </row>
    <row r="299" spans="4:13" x14ac:dyDescent="0.35">
      <c r="D299">
        <v>3</v>
      </c>
      <c r="E299" s="16">
        <f>$L$2</f>
        <v>5.9999999999999995E-4</v>
      </c>
      <c r="F299" s="16">
        <f>$M$2</f>
        <v>1.77E-2</v>
      </c>
      <c r="G299" s="16">
        <f>$N$2</f>
        <v>0.98170000000000002</v>
      </c>
      <c r="K299" s="16">
        <f>D300*E299</f>
        <v>1.5178188375899999E-7</v>
      </c>
      <c r="L299" s="16">
        <f>D300*F299</f>
        <v>4.4775655708904997E-6</v>
      </c>
      <c r="M299" s="16">
        <f>D300*G299</f>
        <v>2.483404588103505E-4</v>
      </c>
    </row>
    <row r="300" spans="4:13" x14ac:dyDescent="0.35">
      <c r="D300" s="16">
        <f>'[1]1корзина(3кв)'!D103*'[1]1корзина(3кв)'!G102</f>
        <v>2.5296980626499999E-4</v>
      </c>
    </row>
    <row r="302" spans="4:13" x14ac:dyDescent="0.35">
      <c r="E302">
        <v>1</v>
      </c>
      <c r="F302">
        <v>2</v>
      </c>
      <c r="G302">
        <v>3</v>
      </c>
      <c r="K302">
        <v>1</v>
      </c>
      <c r="L302">
        <v>2</v>
      </c>
      <c r="M302">
        <v>3</v>
      </c>
    </row>
    <row r="303" spans="4:13" x14ac:dyDescent="0.35">
      <c r="D303">
        <v>1</v>
      </c>
      <c r="E303" s="16">
        <f>$F$2</f>
        <v>0.94640000000000002</v>
      </c>
      <c r="F303" s="16">
        <f>$G$2</f>
        <v>2.6100000000000002E-2</v>
      </c>
      <c r="G303" s="16">
        <f>$H$2</f>
        <v>2.75E-2</v>
      </c>
      <c r="K303" s="16">
        <f>D304*E303</f>
        <v>1.4508155389728E-5</v>
      </c>
      <c r="L303" s="16">
        <f>D304*F303</f>
        <v>4.0010868097200004E-7</v>
      </c>
      <c r="M303" s="16">
        <f>D304*G303</f>
        <v>4.2157044930000003E-7</v>
      </c>
    </row>
    <row r="304" spans="4:13" x14ac:dyDescent="0.35">
      <c r="D304" s="16">
        <f>'[1]1корзина(3кв)'!D107*'[1]1корзина(3кв)'!E106</f>
        <v>1.5329834520000001E-5</v>
      </c>
    </row>
    <row r="306" spans="4:13" x14ac:dyDescent="0.35">
      <c r="E306">
        <v>1</v>
      </c>
      <c r="F306">
        <v>2</v>
      </c>
      <c r="G306">
        <v>3</v>
      </c>
      <c r="K306">
        <v>1</v>
      </c>
      <c r="L306">
        <v>2</v>
      </c>
      <c r="M306">
        <v>3</v>
      </c>
    </row>
    <row r="307" spans="4:13" x14ac:dyDescent="0.35">
      <c r="D307">
        <v>2</v>
      </c>
      <c r="E307" s="16">
        <f>$I$2</f>
        <v>0.14080000000000001</v>
      </c>
      <c r="F307" s="16">
        <f>$J$2</f>
        <v>0.32979999999999998</v>
      </c>
      <c r="G307" s="16">
        <f>$K$2</f>
        <v>0.52939999999999998</v>
      </c>
      <c r="K307" s="16">
        <f>D308*E307</f>
        <v>5.9525889984000002E-8</v>
      </c>
      <c r="L307" s="16">
        <f>D308*F307</f>
        <v>1.3942925082899999E-7</v>
      </c>
      <c r="M307" s="16">
        <f>D308*G307</f>
        <v>2.2381396418699999E-7</v>
      </c>
    </row>
    <row r="308" spans="4:13" x14ac:dyDescent="0.35">
      <c r="D308" s="16">
        <f>'[1]1корзина(3кв)'!D107*'[1]1корзина(3кв)'!F106</f>
        <v>4.22769105E-7</v>
      </c>
    </row>
    <row r="310" spans="4:13" x14ac:dyDescent="0.35">
      <c r="E310">
        <v>1</v>
      </c>
      <c r="F310">
        <v>2</v>
      </c>
      <c r="G310">
        <v>3</v>
      </c>
      <c r="K310">
        <v>1</v>
      </c>
      <c r="L310">
        <v>2</v>
      </c>
      <c r="M310">
        <v>3</v>
      </c>
    </row>
    <row r="311" spans="4:13" x14ac:dyDescent="0.35">
      <c r="D311">
        <v>3</v>
      </c>
      <c r="E311" s="16">
        <f>$L$2</f>
        <v>5.9999999999999995E-4</v>
      </c>
      <c r="F311" s="16">
        <f>$M$2</f>
        <v>1.77E-2</v>
      </c>
      <c r="G311" s="16">
        <f>$N$2</f>
        <v>0.98170000000000002</v>
      </c>
      <c r="K311" s="16">
        <f>D312*E311</f>
        <v>2.6726782499999998E-10</v>
      </c>
      <c r="L311" s="16">
        <f>D312*F311</f>
        <v>7.8844008374999998E-9</v>
      </c>
      <c r="M311" s="16">
        <f>D312*G311</f>
        <v>4.372947063375E-7</v>
      </c>
    </row>
    <row r="312" spans="4:13" x14ac:dyDescent="0.35">
      <c r="D312" s="16">
        <f>'[1]1корзина(3кв)'!D107*'[1]1корзина(3кв)'!G106</f>
        <v>4.4544637499999999E-7</v>
      </c>
    </row>
    <row r="314" spans="4:13" x14ac:dyDescent="0.35">
      <c r="E314">
        <v>1</v>
      </c>
      <c r="F314">
        <v>2</v>
      </c>
      <c r="G314">
        <v>3</v>
      </c>
      <c r="K314">
        <v>1</v>
      </c>
      <c r="L314">
        <v>2</v>
      </c>
      <c r="M314">
        <v>3</v>
      </c>
    </row>
    <row r="315" spans="4:13" x14ac:dyDescent="0.35">
      <c r="D315">
        <v>1</v>
      </c>
      <c r="E315" s="16">
        <f>$F$2</f>
        <v>0.94640000000000002</v>
      </c>
      <c r="F315" s="16">
        <f>$G$2</f>
        <v>2.6100000000000002E-2</v>
      </c>
      <c r="G315" s="16">
        <f>$H$2</f>
        <v>2.75E-2</v>
      </c>
      <c r="K315" s="16">
        <f>D316*E315</f>
        <v>6.3674000662272009E-5</v>
      </c>
      <c r="L315" s="16">
        <f>D316*F315</f>
        <v>1.7560137545280004E-6</v>
      </c>
      <c r="M315" s="16">
        <f>D316*G315</f>
        <v>1.8502060632000003E-6</v>
      </c>
    </row>
    <row r="316" spans="4:13" x14ac:dyDescent="0.35">
      <c r="D316" s="16">
        <f>'[1]1корзина(3кв)'!D111*'[1]1корзина(3кв)'!E110</f>
        <v>6.7280220480000013E-5</v>
      </c>
    </row>
    <row r="318" spans="4:13" x14ac:dyDescent="0.35">
      <c r="E318">
        <v>1</v>
      </c>
      <c r="F318">
        <v>2</v>
      </c>
      <c r="G318">
        <v>3</v>
      </c>
      <c r="K318">
        <v>1</v>
      </c>
      <c r="L318">
        <v>2</v>
      </c>
      <c r="M318">
        <v>3</v>
      </c>
    </row>
    <row r="319" spans="4:13" x14ac:dyDescent="0.35">
      <c r="D319">
        <v>2</v>
      </c>
      <c r="E319" s="16">
        <f>$I$2</f>
        <v>0.14080000000000001</v>
      </c>
      <c r="F319" s="16">
        <f>$J$2</f>
        <v>0.32979999999999998</v>
      </c>
      <c r="G319" s="16">
        <f>$K$2</f>
        <v>0.52939999999999998</v>
      </c>
      <c r="K319" s="16">
        <f>D320*E319</f>
        <v>2.2189016714304003E-5</v>
      </c>
      <c r="L319" s="16">
        <f>D320*F319</f>
        <v>5.1973989434498998E-5</v>
      </c>
      <c r="M319" s="16">
        <f>D320*G319</f>
        <v>8.3429442106197006E-5</v>
      </c>
    </row>
    <row r="320" spans="4:13" x14ac:dyDescent="0.35">
      <c r="D320" s="16">
        <f>'[1]1корзина(3кв)'!D111*'[1]1корзина(3кв)'!F110</f>
        <v>1.57592448255E-4</v>
      </c>
    </row>
    <row r="322" spans="4:13" x14ac:dyDescent="0.35">
      <c r="E322">
        <v>1</v>
      </c>
      <c r="F322">
        <v>2</v>
      </c>
      <c r="G322">
        <v>3</v>
      </c>
      <c r="K322">
        <v>1</v>
      </c>
      <c r="L322">
        <v>2</v>
      </c>
      <c r="M322">
        <v>3</v>
      </c>
    </row>
    <row r="323" spans="4:13" x14ac:dyDescent="0.35">
      <c r="D323">
        <v>3</v>
      </c>
      <c r="E323" s="16">
        <f>$L$2</f>
        <v>5.9999999999999995E-4</v>
      </c>
      <c r="F323" s="16">
        <f>$M$2</f>
        <v>1.77E-2</v>
      </c>
      <c r="G323" s="16">
        <f>$N$2</f>
        <v>0.98170000000000002</v>
      </c>
      <c r="K323" s="16">
        <f>D324*E323</f>
        <v>1.5178188375899999E-7</v>
      </c>
      <c r="L323" s="16">
        <f>D324*F323</f>
        <v>4.4775655708904997E-6</v>
      </c>
      <c r="M323" s="16">
        <f>D324*G323</f>
        <v>2.483404588103505E-4</v>
      </c>
    </row>
    <row r="324" spans="4:13" x14ac:dyDescent="0.35">
      <c r="D324" s="16">
        <f>'[1]1корзина(3кв)'!D111*'[1]1корзина(3кв)'!G110</f>
        <v>2.5296980626499999E-4</v>
      </c>
    </row>
    <row r="326" spans="4:13" x14ac:dyDescent="0.35">
      <c r="E326">
        <v>1</v>
      </c>
      <c r="F326">
        <v>2</v>
      </c>
      <c r="G326">
        <v>3</v>
      </c>
      <c r="K326">
        <v>1</v>
      </c>
      <c r="L326">
        <v>2</v>
      </c>
      <c r="M326">
        <v>3</v>
      </c>
    </row>
    <row r="327" spans="4:13" x14ac:dyDescent="0.35">
      <c r="D327">
        <v>1</v>
      </c>
      <c r="E327" s="16">
        <f>$F$2</f>
        <v>0.94640000000000002</v>
      </c>
      <c r="F327" s="16">
        <f>$G$2</f>
        <v>2.6100000000000002E-2</v>
      </c>
      <c r="G327" s="16">
        <f>$H$2</f>
        <v>2.75E-2</v>
      </c>
      <c r="K327" s="16">
        <f>D328*E327</f>
        <v>1.5049298548283999E-5</v>
      </c>
      <c r="L327" s="16">
        <f>D328*F327</f>
        <v>4.1503243037850001E-7</v>
      </c>
      <c r="M327" s="16">
        <f>D328*G327</f>
        <v>4.3729470633749995E-7</v>
      </c>
    </row>
    <row r="328" spans="4:13" x14ac:dyDescent="0.35">
      <c r="D328" s="16">
        <f>'[1]1корзина(3кв)'!D115*'[1]1корзина(3кв)'!E114</f>
        <v>1.5901625684999999E-5</v>
      </c>
    </row>
    <row r="330" spans="4:13" x14ac:dyDescent="0.35">
      <c r="E330">
        <v>1</v>
      </c>
      <c r="F330">
        <v>2</v>
      </c>
      <c r="G330">
        <v>3</v>
      </c>
      <c r="K330">
        <v>1</v>
      </c>
      <c r="L330">
        <v>2</v>
      </c>
      <c r="M330">
        <v>3</v>
      </c>
    </row>
    <row r="331" spans="4:13" x14ac:dyDescent="0.35">
      <c r="D331">
        <v>2</v>
      </c>
      <c r="E331" s="16">
        <f>$I$2</f>
        <v>0.14080000000000001</v>
      </c>
      <c r="F331" s="16">
        <f>$J$2</f>
        <v>0.32979999999999998</v>
      </c>
      <c r="G331" s="16">
        <f>$K$2</f>
        <v>0.52939999999999998</v>
      </c>
      <c r="K331" s="16">
        <f>D332*E331</f>
        <v>6.6048992445216003E-5</v>
      </c>
      <c r="L331" s="16">
        <f>D332*F331</f>
        <v>1.5470850645193349E-4</v>
      </c>
      <c r="M331" s="16">
        <f>D332*G331</f>
        <v>2.483404588103505E-4</v>
      </c>
    </row>
    <row r="332" spans="4:13" x14ac:dyDescent="0.35">
      <c r="D332" s="16">
        <f>'[1]1корзина(3кв)'!D115*'[1]1корзина(3кв)'!F114</f>
        <v>4.6909795770750003E-4</v>
      </c>
    </row>
    <row r="334" spans="4:13" x14ac:dyDescent="0.35">
      <c r="E334">
        <v>1</v>
      </c>
      <c r="F334">
        <v>2</v>
      </c>
      <c r="G334">
        <v>3</v>
      </c>
      <c r="K334">
        <v>1</v>
      </c>
      <c r="L334">
        <v>2</v>
      </c>
      <c r="M334">
        <v>3</v>
      </c>
    </row>
    <row r="335" spans="4:13" x14ac:dyDescent="0.35">
      <c r="D335">
        <v>3</v>
      </c>
      <c r="E335" s="16">
        <f>$L$2</f>
        <v>5.9999999999999995E-4</v>
      </c>
      <c r="F335" s="16">
        <f>$M$2</f>
        <v>1.77E-2</v>
      </c>
      <c r="G335" s="16">
        <f>$N$2</f>
        <v>0.98170000000000002</v>
      </c>
      <c r="K335" s="16">
        <f>D336*E335</f>
        <v>1.5610625934964499E-5</v>
      </c>
      <c r="L335" s="16">
        <f>D336*F335</f>
        <v>4.6051346508145275E-4</v>
      </c>
      <c r="M335" s="16">
        <f>D336*G335</f>
        <v>2.5541585800591082E-2</v>
      </c>
    </row>
    <row r="336" spans="4:13" x14ac:dyDescent="0.35">
      <c r="D336" s="16">
        <f>'[1]1корзина(3кв)'!D115*'[1]1корзина(3кв)'!G114</f>
        <v>2.60177098916075E-2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A155-2220-4BF6-B3CE-337212B98CF5}">
  <dimension ref="A1:J45"/>
  <sheetViews>
    <sheetView zoomScale="55" zoomScaleNormal="55" workbookViewId="0">
      <selection activeCell="S68" sqref="S68"/>
    </sheetView>
  </sheetViews>
  <sheetFormatPr defaultRowHeight="14.5" x14ac:dyDescent="0.35"/>
  <cols>
    <col min="1" max="1" width="13.26953125" bestFit="1" customWidth="1"/>
  </cols>
  <sheetData>
    <row r="1" spans="1:10" x14ac:dyDescent="0.35">
      <c r="A1" s="2" t="s">
        <v>1</v>
      </c>
      <c r="B1" s="28" t="s">
        <v>2</v>
      </c>
      <c r="C1" s="29"/>
      <c r="D1" s="29"/>
      <c r="E1" s="29"/>
      <c r="F1" s="29"/>
      <c r="G1" s="29"/>
      <c r="H1" s="29"/>
      <c r="I1" s="29"/>
      <c r="J1" s="30"/>
    </row>
    <row r="2" spans="1:10" ht="15" thickBot="1" x14ac:dyDescent="0.4">
      <c r="A2" s="3" t="s">
        <v>3</v>
      </c>
      <c r="B2" s="4" t="s">
        <v>4</v>
      </c>
      <c r="C2" s="5" t="s">
        <v>5</v>
      </c>
      <c r="D2" s="5" t="s">
        <v>6</v>
      </c>
      <c r="E2" s="6" t="s">
        <v>7</v>
      </c>
      <c r="F2" s="6" t="s">
        <v>8</v>
      </c>
      <c r="G2" s="6" t="s">
        <v>9</v>
      </c>
      <c r="H2" s="7" t="s">
        <v>10</v>
      </c>
      <c r="I2" s="7" t="s">
        <v>11</v>
      </c>
      <c r="J2" s="8" t="s">
        <v>12</v>
      </c>
    </row>
    <row r="3" spans="1:10" x14ac:dyDescent="0.35">
      <c r="A3" s="1" t="s">
        <v>0</v>
      </c>
      <c r="B3" s="10">
        <v>0.94640000000000002</v>
      </c>
      <c r="C3" s="11">
        <v>2.6100000000000002E-2</v>
      </c>
      <c r="D3" s="11">
        <v>2.75E-2</v>
      </c>
      <c r="E3" s="12">
        <v>0.14080000000000001</v>
      </c>
      <c r="F3" s="12">
        <v>0.32979999999999998</v>
      </c>
      <c r="G3" s="12">
        <v>0.52939999999999998</v>
      </c>
      <c r="H3" s="13">
        <v>5.9999999999999995E-4</v>
      </c>
      <c r="I3" s="13">
        <v>1.77E-2</v>
      </c>
      <c r="J3" s="14">
        <v>0.98170000000000002</v>
      </c>
    </row>
    <row r="11" spans="1:10" x14ac:dyDescent="0.35">
      <c r="E11" t="s">
        <v>13</v>
      </c>
    </row>
    <row r="12" spans="1:10" x14ac:dyDescent="0.35">
      <c r="E12">
        <v>1</v>
      </c>
    </row>
    <row r="13" spans="1:10" x14ac:dyDescent="0.35">
      <c r="E13" s="15">
        <f>$B$18*C14</f>
        <v>0.13325312</v>
      </c>
    </row>
    <row r="14" spans="1:10" x14ac:dyDescent="0.35">
      <c r="C14" s="15">
        <f>B3</f>
        <v>0.94640000000000002</v>
      </c>
      <c r="E14" s="15"/>
    </row>
    <row r="15" spans="1:10" x14ac:dyDescent="0.35">
      <c r="C15" s="15"/>
      <c r="E15" s="15"/>
      <c r="I15">
        <v>1</v>
      </c>
    </row>
    <row r="16" spans="1:10" x14ac:dyDescent="0.35">
      <c r="C16" s="15"/>
      <c r="E16" s="17">
        <v>2</v>
      </c>
      <c r="I16" s="16">
        <f>E13+E24+E37</f>
        <v>0.18000660000000002</v>
      </c>
    </row>
    <row r="17" spans="1:9" x14ac:dyDescent="0.35">
      <c r="B17">
        <v>1</v>
      </c>
      <c r="C17" s="15">
        <f>C3</f>
        <v>2.6100000000000002E-2</v>
      </c>
      <c r="E17" s="15">
        <f>B18*C17</f>
        <v>3.6748800000000006E-3</v>
      </c>
      <c r="I17">
        <v>2</v>
      </c>
    </row>
    <row r="18" spans="1:9" x14ac:dyDescent="0.35">
      <c r="B18" s="15">
        <f>E3</f>
        <v>0.14080000000000001</v>
      </c>
      <c r="C18" s="15"/>
      <c r="E18" s="15"/>
      <c r="I18" s="16">
        <f>E17+E27+E40</f>
        <v>0.12181329999999999</v>
      </c>
    </row>
    <row r="19" spans="1:9" x14ac:dyDescent="0.35">
      <c r="C19" s="15"/>
      <c r="E19" s="17">
        <v>3</v>
      </c>
      <c r="I19">
        <v>3</v>
      </c>
    </row>
    <row r="20" spans="1:9" x14ac:dyDescent="0.35">
      <c r="C20" s="15">
        <f>D3</f>
        <v>2.75E-2</v>
      </c>
      <c r="E20" s="15">
        <f>B18*C20</f>
        <v>3.8720000000000004E-3</v>
      </c>
      <c r="I20" s="16">
        <f>E20+E31+E44</f>
        <v>0.69818009999999997</v>
      </c>
    </row>
    <row r="21" spans="1:9" x14ac:dyDescent="0.35">
      <c r="C21" s="15"/>
    </row>
    <row r="22" spans="1:9" x14ac:dyDescent="0.35">
      <c r="C22" s="15"/>
    </row>
    <row r="23" spans="1:9" x14ac:dyDescent="0.35">
      <c r="C23" s="15"/>
      <c r="E23">
        <v>1</v>
      </c>
    </row>
    <row r="24" spans="1:9" x14ac:dyDescent="0.35">
      <c r="C24" s="15">
        <f>E3</f>
        <v>0.14080000000000001</v>
      </c>
      <c r="E24" s="16">
        <f>B28*C24</f>
        <v>4.6435839999999999E-2</v>
      </c>
      <c r="H24" t="s">
        <v>14</v>
      </c>
      <c r="I24" s="16">
        <f>I16+I18+I20</f>
        <v>1</v>
      </c>
    </row>
    <row r="25" spans="1:9" x14ac:dyDescent="0.35">
      <c r="C25" s="15"/>
    </row>
    <row r="26" spans="1:9" x14ac:dyDescent="0.35">
      <c r="C26" s="15"/>
      <c r="E26">
        <v>2</v>
      </c>
    </row>
    <row r="27" spans="1:9" x14ac:dyDescent="0.35">
      <c r="B27">
        <v>2</v>
      </c>
      <c r="C27" s="15">
        <f>F3</f>
        <v>0.32979999999999998</v>
      </c>
      <c r="E27" s="16">
        <f>B28*C27</f>
        <v>0.10876803999999998</v>
      </c>
    </row>
    <row r="28" spans="1:9" x14ac:dyDescent="0.35">
      <c r="A28" t="s">
        <v>20</v>
      </c>
      <c r="B28" s="15">
        <f>F3</f>
        <v>0.32979999999999998</v>
      </c>
      <c r="C28" s="15"/>
    </row>
    <row r="29" spans="1:9" x14ac:dyDescent="0.35">
      <c r="C29" s="15"/>
    </row>
    <row r="30" spans="1:9" x14ac:dyDescent="0.35">
      <c r="C30" s="15"/>
      <c r="E30">
        <v>3</v>
      </c>
    </row>
    <row r="31" spans="1:9" x14ac:dyDescent="0.35">
      <c r="C31" s="15">
        <f>G3</f>
        <v>0.52939999999999998</v>
      </c>
      <c r="E31" s="16">
        <f>C31*B28</f>
        <v>0.17459611999999999</v>
      </c>
    </row>
    <row r="32" spans="1:9" x14ac:dyDescent="0.35">
      <c r="C32" s="15"/>
    </row>
    <row r="33" spans="2:5" x14ac:dyDescent="0.35">
      <c r="C33" s="15"/>
    </row>
    <row r="34" spans="2:5" x14ac:dyDescent="0.35">
      <c r="C34" s="15"/>
    </row>
    <row r="35" spans="2:5" x14ac:dyDescent="0.35">
      <c r="C35" s="15"/>
    </row>
    <row r="36" spans="2:5" x14ac:dyDescent="0.35">
      <c r="C36" s="15"/>
      <c r="E36">
        <v>1</v>
      </c>
    </row>
    <row r="37" spans="2:5" x14ac:dyDescent="0.35">
      <c r="C37" s="15">
        <f>H3</f>
        <v>5.9999999999999995E-4</v>
      </c>
      <c r="E37" s="16">
        <f>B41*C37</f>
        <v>3.1763999999999995E-4</v>
      </c>
    </row>
    <row r="38" spans="2:5" x14ac:dyDescent="0.35">
      <c r="C38" s="15"/>
    </row>
    <row r="39" spans="2:5" x14ac:dyDescent="0.35">
      <c r="C39" s="15"/>
      <c r="E39">
        <v>2</v>
      </c>
    </row>
    <row r="40" spans="2:5" x14ac:dyDescent="0.35">
      <c r="B40">
        <v>3</v>
      </c>
      <c r="C40" s="15">
        <f>I3</f>
        <v>1.77E-2</v>
      </c>
      <c r="E40" s="16">
        <f>B41*C40</f>
        <v>9.3703799999999993E-3</v>
      </c>
    </row>
    <row r="41" spans="2:5" x14ac:dyDescent="0.35">
      <c r="B41" s="15">
        <f>G3</f>
        <v>0.52939999999999998</v>
      </c>
      <c r="C41" s="15"/>
    </row>
    <row r="42" spans="2:5" x14ac:dyDescent="0.35">
      <c r="C42" s="15"/>
    </row>
    <row r="43" spans="2:5" x14ac:dyDescent="0.35">
      <c r="C43" s="15"/>
      <c r="E43">
        <v>3</v>
      </c>
    </row>
    <row r="44" spans="2:5" x14ac:dyDescent="0.35">
      <c r="C44" s="15">
        <f>J3</f>
        <v>0.98170000000000002</v>
      </c>
      <c r="E44" s="16">
        <f>B41*C44</f>
        <v>0.51971197999999996</v>
      </c>
    </row>
    <row r="45" spans="2:5" x14ac:dyDescent="0.35">
      <c r="C45" s="15"/>
    </row>
  </sheetData>
  <mergeCells count="1">
    <mergeCell ref="B1:J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F7AC-DEC5-4745-AA5E-CADE69ECB488}">
  <dimension ref="B1:R49"/>
  <sheetViews>
    <sheetView zoomScale="55" zoomScaleNormal="55" workbookViewId="0">
      <selection activeCell="N46" sqref="N46"/>
    </sheetView>
  </sheetViews>
  <sheetFormatPr defaultRowHeight="14.5" x14ac:dyDescent="0.35"/>
  <cols>
    <col min="5" max="5" width="13.36328125" customWidth="1"/>
  </cols>
  <sheetData>
    <row r="1" spans="2:18" ht="15" thickBot="1" x14ac:dyDescent="0.4"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2:18" x14ac:dyDescent="0.35">
      <c r="B2" s="16"/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3" spans="2:18" x14ac:dyDescent="0.35">
      <c r="P3" s="16"/>
    </row>
    <row r="4" spans="2:18" x14ac:dyDescent="0.35">
      <c r="P4" s="16"/>
    </row>
    <row r="5" spans="2:18" x14ac:dyDescent="0.35">
      <c r="B5" s="16"/>
      <c r="P5" s="19"/>
      <c r="Q5" s="19"/>
      <c r="R5" s="19"/>
    </row>
    <row r="6" spans="2:18" x14ac:dyDescent="0.35">
      <c r="O6" s="20">
        <v>1</v>
      </c>
      <c r="P6" s="21">
        <v>2</v>
      </c>
      <c r="Q6" s="22">
        <v>3</v>
      </c>
      <c r="R6" s="22" t="s">
        <v>14</v>
      </c>
    </row>
    <row r="7" spans="2:18" x14ac:dyDescent="0.35">
      <c r="B7" s="16"/>
      <c r="O7" s="23">
        <f>J15+J18+J21+J26+J29+J32+J37+J40+J43</f>
        <v>0.18792846693999998</v>
      </c>
      <c r="P7" s="23">
        <f t="shared" ref="P7:Q7" si="0">K15+K18+K21+K26+K29+K32+K37+K40+K43</f>
        <v>5.7229986369999986E-2</v>
      </c>
      <c r="Q7" s="23">
        <f t="shared" si="0"/>
        <v>0.75484154668999992</v>
      </c>
      <c r="R7" s="23">
        <f>O7+P7+Q7</f>
        <v>0.99999999999999989</v>
      </c>
    </row>
    <row r="8" spans="2:18" x14ac:dyDescent="0.35">
      <c r="P8" s="9"/>
    </row>
    <row r="9" spans="2:18" x14ac:dyDescent="0.35">
      <c r="P9" s="9"/>
    </row>
    <row r="10" spans="2:18" x14ac:dyDescent="0.35">
      <c r="P10" s="16"/>
    </row>
    <row r="14" spans="2:18" x14ac:dyDescent="0.35">
      <c r="E14">
        <v>1</v>
      </c>
      <c r="F14">
        <v>2</v>
      </c>
      <c r="G14">
        <v>3</v>
      </c>
      <c r="J14">
        <v>1</v>
      </c>
      <c r="K14">
        <v>2</v>
      </c>
      <c r="L14">
        <v>3</v>
      </c>
      <c r="P14" s="16"/>
    </row>
    <row r="15" spans="2:18" x14ac:dyDescent="0.35">
      <c r="D15">
        <v>1</v>
      </c>
      <c r="E15" s="16">
        <f>$F$2</f>
        <v>0.94640000000000002</v>
      </c>
      <c r="F15" s="16">
        <f>$G$2</f>
        <v>2.6100000000000002E-2</v>
      </c>
      <c r="G15" s="16">
        <f>$H$2</f>
        <v>2.75E-2</v>
      </c>
      <c r="J15" s="16">
        <f>D16*E15</f>
        <v>0.12611075276800002</v>
      </c>
      <c r="K15" s="16">
        <f>D16*F15</f>
        <v>3.4779064320000002E-3</v>
      </c>
      <c r="L15" s="16">
        <f>D16*G15</f>
        <v>3.6644608000000003E-3</v>
      </c>
    </row>
    <row r="16" spans="2:18" x14ac:dyDescent="0.35">
      <c r="D16" s="16">
        <v>0.13325312</v>
      </c>
    </row>
    <row r="17" spans="2:18" x14ac:dyDescent="0.35">
      <c r="E17">
        <v>1</v>
      </c>
      <c r="F17">
        <v>2</v>
      </c>
      <c r="G17">
        <v>3</v>
      </c>
      <c r="J17">
        <v>1</v>
      </c>
      <c r="K17">
        <v>2</v>
      </c>
      <c r="L17">
        <v>3</v>
      </c>
      <c r="P17" s="16"/>
    </row>
    <row r="18" spans="2:18" x14ac:dyDescent="0.35">
      <c r="D18">
        <v>2</v>
      </c>
      <c r="E18" s="16">
        <f>$I$2</f>
        <v>0.14080000000000001</v>
      </c>
      <c r="F18" s="16">
        <f>$J$2</f>
        <v>0.32979999999999998</v>
      </c>
      <c r="G18" s="16">
        <f>$K$2</f>
        <v>0.52939999999999998</v>
      </c>
      <c r="J18" s="16">
        <f>D19*E18</f>
        <v>5.1742310400000016E-4</v>
      </c>
      <c r="K18" s="16">
        <f>D19*F18</f>
        <v>1.2119754240000002E-3</v>
      </c>
      <c r="L18" s="16">
        <f>D19*G18</f>
        <v>1.9454814720000003E-3</v>
      </c>
      <c r="R18" s="16"/>
    </row>
    <row r="19" spans="2:18" x14ac:dyDescent="0.35">
      <c r="D19" s="16">
        <v>3.6748800000000006E-3</v>
      </c>
      <c r="J19" s="16"/>
      <c r="K19" s="16"/>
      <c r="L19" s="16"/>
      <c r="R19" s="16"/>
    </row>
    <row r="20" spans="2:18" x14ac:dyDescent="0.35">
      <c r="E20">
        <v>1</v>
      </c>
      <c r="F20">
        <v>2</v>
      </c>
      <c r="G20">
        <v>3</v>
      </c>
      <c r="J20">
        <v>1</v>
      </c>
      <c r="K20">
        <v>2</v>
      </c>
      <c r="L20">
        <v>3</v>
      </c>
      <c r="R20" s="16"/>
    </row>
    <row r="21" spans="2:18" x14ac:dyDescent="0.35">
      <c r="D21">
        <v>3</v>
      </c>
      <c r="E21" s="16">
        <f>$L$2</f>
        <v>5.9999999999999995E-4</v>
      </c>
      <c r="F21" s="16">
        <f>$M$2</f>
        <v>1.77E-2</v>
      </c>
      <c r="G21" s="16">
        <f>$N$2</f>
        <v>0.98170000000000002</v>
      </c>
      <c r="J21" s="16">
        <f>D22*E21</f>
        <v>2.3232000000000001E-6</v>
      </c>
      <c r="K21" s="16">
        <f>D22*F21</f>
        <v>6.8534400000000006E-5</v>
      </c>
      <c r="L21" s="16">
        <f>D22*G21</f>
        <v>3.8011424000000005E-3</v>
      </c>
      <c r="P21" s="16"/>
      <c r="R21" s="24"/>
    </row>
    <row r="22" spans="2:18" x14ac:dyDescent="0.35">
      <c r="D22" s="16">
        <v>3.8720000000000004E-3</v>
      </c>
      <c r="J22" s="16"/>
      <c r="K22" s="16"/>
      <c r="L22" s="16"/>
      <c r="R22" s="16"/>
    </row>
    <row r="23" spans="2:18" x14ac:dyDescent="0.35">
      <c r="R23" s="16"/>
    </row>
    <row r="24" spans="2:18" x14ac:dyDescent="0.35">
      <c r="R24" s="24"/>
    </row>
    <row r="25" spans="2:18" x14ac:dyDescent="0.35">
      <c r="E25">
        <v>1</v>
      </c>
      <c r="F25">
        <v>2</v>
      </c>
      <c r="G25">
        <v>3</v>
      </c>
      <c r="J25">
        <v>1</v>
      </c>
      <c r="K25">
        <v>2</v>
      </c>
      <c r="L25">
        <v>3</v>
      </c>
      <c r="R25" s="16"/>
    </row>
    <row r="26" spans="2:18" x14ac:dyDescent="0.35">
      <c r="D26">
        <v>1</v>
      </c>
      <c r="E26" s="16">
        <f>$F$2</f>
        <v>0.94640000000000002</v>
      </c>
      <c r="F26" s="16">
        <f>$G$2</f>
        <v>2.6100000000000002E-2</v>
      </c>
      <c r="G26" s="16">
        <f>$H$2</f>
        <v>2.75E-2</v>
      </c>
      <c r="J26" s="16">
        <f>D27*E26</f>
        <v>4.3946878975999998E-2</v>
      </c>
      <c r="K26" s="16">
        <f>D27*F26</f>
        <v>1.2119754240000002E-3</v>
      </c>
      <c r="L26" s="16">
        <f>D27*G26</f>
        <v>1.2769856E-3</v>
      </c>
    </row>
    <row r="27" spans="2:18" x14ac:dyDescent="0.35">
      <c r="D27" s="16">
        <v>4.6435839999999999E-2</v>
      </c>
      <c r="P27" s="16"/>
    </row>
    <row r="28" spans="2:18" x14ac:dyDescent="0.35">
      <c r="B28" t="s">
        <v>21</v>
      </c>
      <c r="E28">
        <v>1</v>
      </c>
      <c r="F28">
        <v>2</v>
      </c>
      <c r="G28">
        <v>3</v>
      </c>
      <c r="J28">
        <v>1</v>
      </c>
      <c r="K28">
        <v>2</v>
      </c>
      <c r="L28">
        <v>3</v>
      </c>
    </row>
    <row r="29" spans="2:18" x14ac:dyDescent="0.35">
      <c r="D29">
        <v>2</v>
      </c>
      <c r="E29" s="16">
        <f>$I$2</f>
        <v>0.14080000000000001</v>
      </c>
      <c r="F29" s="16">
        <f>$J$2</f>
        <v>0.32979999999999998</v>
      </c>
      <c r="G29" s="16">
        <f>$K$2</f>
        <v>0.52939999999999998</v>
      </c>
      <c r="J29" s="16">
        <f>D30*E29</f>
        <v>1.5314540031999998E-2</v>
      </c>
      <c r="K29" s="16">
        <f>D30*F29</f>
        <v>3.5871699591999991E-2</v>
      </c>
      <c r="L29" s="16">
        <f>D30*G29</f>
        <v>5.7581800375999991E-2</v>
      </c>
      <c r="R29" s="16"/>
    </row>
    <row r="30" spans="2:18" x14ac:dyDescent="0.35">
      <c r="D30" s="16">
        <v>0.10876803999999998</v>
      </c>
      <c r="J30" s="16"/>
      <c r="K30" s="16"/>
      <c r="L30" s="16"/>
      <c r="P30" s="16"/>
    </row>
    <row r="31" spans="2:18" x14ac:dyDescent="0.35">
      <c r="E31">
        <v>1</v>
      </c>
      <c r="F31">
        <v>2</v>
      </c>
      <c r="G31">
        <v>3</v>
      </c>
      <c r="J31">
        <v>1</v>
      </c>
      <c r="K31">
        <v>2</v>
      </c>
      <c r="L31">
        <v>3</v>
      </c>
    </row>
    <row r="32" spans="2:18" x14ac:dyDescent="0.35">
      <c r="D32">
        <v>3</v>
      </c>
      <c r="E32" s="16">
        <f>$L$2</f>
        <v>5.9999999999999995E-4</v>
      </c>
      <c r="F32" s="16">
        <f>$M$2</f>
        <v>1.77E-2</v>
      </c>
      <c r="G32" s="16">
        <f>$N$2</f>
        <v>0.98170000000000002</v>
      </c>
      <c r="J32" s="16">
        <f>D33*E32</f>
        <v>1.0475767199999998E-4</v>
      </c>
      <c r="K32" s="16">
        <f>D33*F32</f>
        <v>3.0903513239999999E-3</v>
      </c>
      <c r="L32" s="16">
        <f>D33*G32</f>
        <v>0.17140101100399999</v>
      </c>
      <c r="R32" s="16"/>
    </row>
    <row r="33" spans="4:18" x14ac:dyDescent="0.35">
      <c r="D33" s="16">
        <v>0.17459611999999999</v>
      </c>
    </row>
    <row r="34" spans="4:18" x14ac:dyDescent="0.35">
      <c r="P34" s="16"/>
    </row>
    <row r="36" spans="4:18" x14ac:dyDescent="0.35">
      <c r="E36">
        <v>1</v>
      </c>
      <c r="F36">
        <v>2</v>
      </c>
      <c r="G36">
        <v>3</v>
      </c>
      <c r="J36">
        <v>1</v>
      </c>
      <c r="K36">
        <v>2</v>
      </c>
      <c r="L36">
        <v>3</v>
      </c>
      <c r="R36" s="16"/>
    </row>
    <row r="37" spans="4:18" x14ac:dyDescent="0.35">
      <c r="D37">
        <v>1</v>
      </c>
      <c r="E37" s="16">
        <f>$F$2</f>
        <v>0.94640000000000002</v>
      </c>
      <c r="F37" s="16">
        <f>$G$2</f>
        <v>2.6100000000000002E-2</v>
      </c>
      <c r="G37" s="16">
        <f>$H$2</f>
        <v>2.75E-2</v>
      </c>
      <c r="J37" s="16">
        <f>D38*E37</f>
        <v>3.0061449599999996E-4</v>
      </c>
      <c r="K37" s="16">
        <f>D38*F37</f>
        <v>8.2904039999999987E-6</v>
      </c>
      <c r="L37" s="16">
        <f>D38*G37</f>
        <v>8.7350999999999987E-6</v>
      </c>
    </row>
    <row r="38" spans="4:18" x14ac:dyDescent="0.35">
      <c r="D38" s="16">
        <v>3.1763999999999995E-4</v>
      </c>
    </row>
    <row r="39" spans="4:18" x14ac:dyDescent="0.35">
      <c r="E39">
        <v>1</v>
      </c>
      <c r="F39">
        <v>2</v>
      </c>
      <c r="G39">
        <v>3</v>
      </c>
      <c r="J39">
        <v>1</v>
      </c>
      <c r="K39">
        <v>2</v>
      </c>
      <c r="L39">
        <v>3</v>
      </c>
    </row>
    <row r="40" spans="4:18" x14ac:dyDescent="0.35">
      <c r="D40">
        <v>2</v>
      </c>
      <c r="E40" s="16">
        <f>$I$2</f>
        <v>0.14080000000000001</v>
      </c>
      <c r="F40" s="16">
        <f>$J$2</f>
        <v>0.32979999999999998</v>
      </c>
      <c r="G40" s="16">
        <f>$K$2</f>
        <v>0.52939999999999998</v>
      </c>
      <c r="J40" s="16">
        <f>D41*E40</f>
        <v>1.319349504E-3</v>
      </c>
      <c r="K40" s="16">
        <f>D41*F40</f>
        <v>3.0903513239999994E-3</v>
      </c>
      <c r="L40" s="16">
        <f>D41*G40</f>
        <v>4.9606791719999993E-3</v>
      </c>
    </row>
    <row r="41" spans="4:18" x14ac:dyDescent="0.35">
      <c r="D41" s="16">
        <v>9.3703799999999993E-3</v>
      </c>
      <c r="J41" s="16"/>
      <c r="K41" s="16"/>
      <c r="L41" s="16"/>
    </row>
    <row r="42" spans="4:18" x14ac:dyDescent="0.35">
      <c r="E42">
        <v>1</v>
      </c>
      <c r="F42">
        <v>2</v>
      </c>
      <c r="G42">
        <v>3</v>
      </c>
      <c r="J42">
        <v>1</v>
      </c>
      <c r="K42">
        <v>2</v>
      </c>
      <c r="L42">
        <v>3</v>
      </c>
      <c r="R42" s="16"/>
    </row>
    <row r="43" spans="4:18" x14ac:dyDescent="0.35">
      <c r="D43">
        <v>3</v>
      </c>
      <c r="E43" s="16">
        <f>$L$2</f>
        <v>5.9999999999999995E-4</v>
      </c>
      <c r="F43" s="16">
        <f>$M$2</f>
        <v>1.77E-2</v>
      </c>
      <c r="G43" s="16">
        <f>$N$2</f>
        <v>0.98170000000000002</v>
      </c>
      <c r="J43" s="16">
        <f>D44*E43</f>
        <v>3.1182718799999993E-4</v>
      </c>
      <c r="K43" s="16">
        <f>D44*F43</f>
        <v>9.1989020459999991E-3</v>
      </c>
      <c r="L43" s="16">
        <f>D44*G43</f>
        <v>0.51020125076599998</v>
      </c>
    </row>
    <row r="44" spans="4:18" x14ac:dyDescent="0.35">
      <c r="D44" s="16">
        <v>0.51971197999999996</v>
      </c>
    </row>
    <row r="45" spans="4:18" x14ac:dyDescent="0.35">
      <c r="R45" s="16"/>
    </row>
    <row r="49" spans="18:18" x14ac:dyDescent="0.35">
      <c r="R49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F7C1-FE9E-4380-A5AA-BFF827689EC0}">
  <dimension ref="A1:AA115"/>
  <sheetViews>
    <sheetView zoomScale="55" zoomScaleNormal="55" workbookViewId="0">
      <selection activeCell="A42" sqref="A42"/>
    </sheetView>
  </sheetViews>
  <sheetFormatPr defaultRowHeight="14.5" x14ac:dyDescent="0.35"/>
  <cols>
    <col min="5" max="5" width="13.26953125" bestFit="1" customWidth="1"/>
  </cols>
  <sheetData>
    <row r="1" spans="4:27" ht="15" thickBot="1" x14ac:dyDescent="0.4"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4:27" x14ac:dyDescent="0.35"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8" spans="4:27" x14ac:dyDescent="0.35">
      <c r="L8" s="16"/>
      <c r="M8" s="16"/>
      <c r="N8" s="16"/>
    </row>
    <row r="9" spans="4:27" x14ac:dyDescent="0.35">
      <c r="E9">
        <v>1</v>
      </c>
      <c r="F9">
        <v>2</v>
      </c>
      <c r="G9">
        <v>3</v>
      </c>
      <c r="K9">
        <v>1</v>
      </c>
      <c r="L9">
        <v>2</v>
      </c>
      <c r="M9">
        <v>3</v>
      </c>
      <c r="P9">
        <v>1</v>
      </c>
      <c r="Q9" s="19">
        <v>2</v>
      </c>
      <c r="R9" s="19">
        <v>3</v>
      </c>
      <c r="S9" t="s">
        <v>14</v>
      </c>
    </row>
    <row r="10" spans="4:27" x14ac:dyDescent="0.35">
      <c r="D10">
        <v>1</v>
      </c>
      <c r="E10" s="16">
        <f>$F$2</f>
        <v>0.94640000000000002</v>
      </c>
      <c r="F10" s="16">
        <f>$G$2</f>
        <v>2.6100000000000002E-2</v>
      </c>
      <c r="G10" s="16">
        <f>$H$2</f>
        <v>2.75E-2</v>
      </c>
      <c r="K10" s="16">
        <f>E10*D11</f>
        <v>0.11935121641963523</v>
      </c>
      <c r="L10" s="16">
        <f>D11*F10</f>
        <v>3.2914906472448005E-3</v>
      </c>
      <c r="M10" s="16">
        <f>D11*G10</f>
        <v>3.4680457011200005E-3</v>
      </c>
      <c r="P10" s="16">
        <f>K10+K14+K18+K22+K26+K30+K34+K38+K42+K46+K50+K54+K58+K62+K66+K70+K74+K78+K82+K86+K90+K94+K98+K102+K106+K110+K114</f>
        <v>0.18636638812092599</v>
      </c>
      <c r="Q10" s="16">
        <f>L10+L14+L18+L22+L26+L30+L34+L38+L42+L46+L50+L54+L58+L62+L66+L70+L74+L78+L82+L86+L90+L94+L98+L102+L106+L110+L114</f>
        <v>3.7140077868372992E-2</v>
      </c>
      <c r="R10" s="16">
        <f>M10+M14+M18+M22+M26+M30+M34+M38+M42+M46+M50+M54+M58+M62+M66+M70+M74+M78+M82+M86+M90+M94+M98+M102+M106+M110+M114</f>
        <v>0.77649353401070098</v>
      </c>
      <c r="S10" s="16">
        <f>P10+Q10+R10</f>
        <v>1</v>
      </c>
    </row>
    <row r="11" spans="4:27" x14ac:dyDescent="0.35">
      <c r="D11" s="16">
        <v>0.12611075276800002</v>
      </c>
      <c r="Q11" s="16"/>
    </row>
    <row r="12" spans="4:27" x14ac:dyDescent="0.35">
      <c r="L12" s="16"/>
      <c r="M12" s="16"/>
      <c r="N12" s="16"/>
    </row>
    <row r="13" spans="4:27" x14ac:dyDescent="0.35">
      <c r="E13">
        <v>1</v>
      </c>
      <c r="F13">
        <v>2</v>
      </c>
      <c r="G13">
        <v>3</v>
      </c>
      <c r="K13">
        <v>1</v>
      </c>
      <c r="L13">
        <v>2</v>
      </c>
      <c r="M13">
        <v>3</v>
      </c>
    </row>
    <row r="14" spans="4:27" x14ac:dyDescent="0.35">
      <c r="D14">
        <v>2</v>
      </c>
      <c r="E14" s="16">
        <f>$I$2</f>
        <v>0.14080000000000001</v>
      </c>
      <c r="F14" s="16">
        <f>$J$2</f>
        <v>0.32979999999999998</v>
      </c>
      <c r="G14" s="16">
        <f>$K$2</f>
        <v>0.52939999999999998</v>
      </c>
      <c r="K14" s="16">
        <f>D15*E14</f>
        <v>4.8968922562560009E-4</v>
      </c>
      <c r="L14" s="16">
        <f>D15*F14</f>
        <v>1.1470135412736001E-3</v>
      </c>
      <c r="M14" s="16">
        <f>D15*G14</f>
        <v>1.8412036651008E-3</v>
      </c>
    </row>
    <row r="15" spans="4:27" x14ac:dyDescent="0.35">
      <c r="D15" s="16">
        <v>3.4779064320000002E-3</v>
      </c>
      <c r="L15" s="16"/>
      <c r="M15" s="16"/>
      <c r="N15" s="16"/>
      <c r="Y15" s="16"/>
      <c r="Z15" s="16"/>
      <c r="AA15" s="16"/>
    </row>
    <row r="17" spans="4:27" x14ac:dyDescent="0.35">
      <c r="E17">
        <v>1</v>
      </c>
      <c r="F17">
        <v>2</v>
      </c>
      <c r="G17">
        <v>3</v>
      </c>
      <c r="K17">
        <v>1</v>
      </c>
      <c r="L17">
        <v>2</v>
      </c>
      <c r="M17">
        <v>3</v>
      </c>
    </row>
    <row r="18" spans="4:27" x14ac:dyDescent="0.35">
      <c r="D18">
        <v>3</v>
      </c>
      <c r="E18" s="16">
        <f>$L$2</f>
        <v>5.9999999999999995E-4</v>
      </c>
      <c r="F18" s="16">
        <f>$M$2</f>
        <v>1.77E-2</v>
      </c>
      <c r="G18" s="16">
        <f>$N$2</f>
        <v>0.98170000000000002</v>
      </c>
      <c r="K18" s="16">
        <f>D19*E18</f>
        <v>2.19867648E-6</v>
      </c>
      <c r="L18" s="16">
        <f>D19*F18</f>
        <v>6.4860956160000012E-5</v>
      </c>
      <c r="M18" s="16">
        <f>D19*G18</f>
        <v>3.5974011673600005E-3</v>
      </c>
      <c r="Y18" s="16"/>
      <c r="Z18" s="16"/>
      <c r="AA18" s="16"/>
    </row>
    <row r="19" spans="4:27" x14ac:dyDescent="0.35">
      <c r="D19" s="16">
        <v>3.6644608000000003E-3</v>
      </c>
      <c r="Y19" s="16"/>
      <c r="Z19" s="16"/>
      <c r="AA19" s="16"/>
    </row>
    <row r="21" spans="4:27" x14ac:dyDescent="0.35">
      <c r="E21">
        <v>1</v>
      </c>
      <c r="F21">
        <v>2</v>
      </c>
      <c r="G21">
        <v>3</v>
      </c>
      <c r="K21">
        <v>1</v>
      </c>
      <c r="L21">
        <v>2</v>
      </c>
      <c r="M21">
        <v>3</v>
      </c>
      <c r="Y21" s="16"/>
      <c r="Z21" s="16"/>
      <c r="AA21" s="16"/>
    </row>
    <row r="22" spans="4:27" x14ac:dyDescent="0.35">
      <c r="D22">
        <v>1</v>
      </c>
      <c r="E22" s="16">
        <f>$F$2</f>
        <v>0.94640000000000002</v>
      </c>
      <c r="F22" s="16">
        <f>$G$2</f>
        <v>2.6100000000000002E-2</v>
      </c>
      <c r="G22" s="16">
        <f>$H$2</f>
        <v>2.75E-2</v>
      </c>
      <c r="K22" s="16">
        <f>D23*E22</f>
        <v>4.896892256256002E-4</v>
      </c>
      <c r="L22" s="16">
        <f>D23*F22</f>
        <v>1.3504743014400005E-5</v>
      </c>
      <c r="M22" s="16">
        <f>D23*G22</f>
        <v>1.4229135360000005E-5</v>
      </c>
      <c r="Y22" s="16"/>
      <c r="Z22" s="16"/>
      <c r="AA22" s="16"/>
    </row>
    <row r="23" spans="4:27" x14ac:dyDescent="0.35">
      <c r="D23" s="16">
        <v>5.1742310400000016E-4</v>
      </c>
      <c r="L23" s="16"/>
      <c r="M23" s="16"/>
      <c r="N23" s="16"/>
    </row>
    <row r="25" spans="4:27" x14ac:dyDescent="0.35">
      <c r="E25">
        <v>1</v>
      </c>
      <c r="F25">
        <v>2</v>
      </c>
      <c r="G25">
        <v>3</v>
      </c>
      <c r="K25">
        <v>1</v>
      </c>
      <c r="L25">
        <v>2</v>
      </c>
      <c r="M25">
        <v>3</v>
      </c>
    </row>
    <row r="26" spans="4:27" x14ac:dyDescent="0.35">
      <c r="D26">
        <v>2</v>
      </c>
      <c r="E26" s="16">
        <f>$I$2</f>
        <v>0.14080000000000001</v>
      </c>
      <c r="F26" s="16">
        <f>$J$2</f>
        <v>0.32979999999999998</v>
      </c>
      <c r="G26" s="16">
        <f>$K$2</f>
        <v>0.52939999999999998</v>
      </c>
      <c r="K26" s="16">
        <f>D27*E26</f>
        <v>1.7064613969920004E-4</v>
      </c>
      <c r="L26" s="16">
        <f>D27*F26</f>
        <v>3.9970949483520004E-4</v>
      </c>
      <c r="M26" s="16">
        <f>D27*G26</f>
        <v>6.4161978946560005E-4</v>
      </c>
      <c r="Y26" s="16"/>
      <c r="Z26" s="16"/>
      <c r="AA26" s="16"/>
    </row>
    <row r="27" spans="4:27" x14ac:dyDescent="0.35">
      <c r="D27" s="16">
        <v>1.2119754240000002E-3</v>
      </c>
    </row>
    <row r="29" spans="4:27" x14ac:dyDescent="0.35">
      <c r="E29">
        <v>1</v>
      </c>
      <c r="F29">
        <v>2</v>
      </c>
      <c r="G29">
        <v>3</v>
      </c>
      <c r="K29">
        <v>1</v>
      </c>
      <c r="L29">
        <v>2</v>
      </c>
      <c r="M29">
        <v>3</v>
      </c>
      <c r="Y29" s="16"/>
      <c r="Z29" s="16"/>
      <c r="AA29" s="16"/>
    </row>
    <row r="30" spans="4:27" x14ac:dyDescent="0.35">
      <c r="D30">
        <v>3</v>
      </c>
      <c r="E30" s="16">
        <f>$L$2</f>
        <v>5.9999999999999995E-4</v>
      </c>
      <c r="F30" s="16">
        <f>$M$2</f>
        <v>1.77E-2</v>
      </c>
      <c r="G30" s="16">
        <f>$N$2</f>
        <v>0.98170000000000002</v>
      </c>
      <c r="K30" s="16">
        <f>D31*E30</f>
        <v>1.1672888832E-6</v>
      </c>
      <c r="L30" s="16">
        <f>D31*F30</f>
        <v>3.4435022054400005E-5</v>
      </c>
      <c r="M30" s="16">
        <f>D31*G30</f>
        <v>1.9098791610624004E-3</v>
      </c>
      <c r="Y30" s="16"/>
      <c r="Z30" s="16"/>
      <c r="AA30" s="16"/>
    </row>
    <row r="31" spans="4:27" x14ac:dyDescent="0.35">
      <c r="D31" s="16">
        <v>1.9454814720000003E-3</v>
      </c>
    </row>
    <row r="32" spans="4:27" x14ac:dyDescent="0.35">
      <c r="Y32" s="16"/>
      <c r="Z32" s="16"/>
      <c r="AA32" s="16"/>
    </row>
    <row r="33" spans="1:27" x14ac:dyDescent="0.35">
      <c r="E33">
        <v>1</v>
      </c>
      <c r="F33">
        <v>2</v>
      </c>
      <c r="G33">
        <v>3</v>
      </c>
      <c r="K33">
        <v>1</v>
      </c>
      <c r="L33">
        <v>2</v>
      </c>
      <c r="M33">
        <v>3</v>
      </c>
      <c r="N33" s="16"/>
    </row>
    <row r="34" spans="1:27" x14ac:dyDescent="0.35">
      <c r="D34">
        <v>1</v>
      </c>
      <c r="E34" s="16">
        <f>$F$2</f>
        <v>0.94640000000000002</v>
      </c>
      <c r="F34" s="16">
        <f>$G$2</f>
        <v>2.6100000000000002E-2</v>
      </c>
      <c r="G34" s="16">
        <f>$H$2</f>
        <v>2.75E-2</v>
      </c>
      <c r="K34" s="16">
        <f>D35*E34</f>
        <v>2.19867648E-6</v>
      </c>
      <c r="L34" s="16">
        <f>D35*F34</f>
        <v>6.0635520000000007E-8</v>
      </c>
      <c r="M34" s="16">
        <f>D35*G34</f>
        <v>6.3887999999999996E-8</v>
      </c>
      <c r="N34" s="16"/>
    </row>
    <row r="35" spans="1:27" x14ac:dyDescent="0.35">
      <c r="D35" s="16">
        <v>2.3232000000000001E-6</v>
      </c>
    </row>
    <row r="36" spans="1:27" x14ac:dyDescent="0.35">
      <c r="L36" s="16"/>
      <c r="M36" s="16"/>
      <c r="N36" s="16"/>
    </row>
    <row r="37" spans="1:27" x14ac:dyDescent="0.35">
      <c r="E37">
        <v>1</v>
      </c>
      <c r="F37">
        <v>2</v>
      </c>
      <c r="G37">
        <v>3</v>
      </c>
      <c r="K37">
        <v>1</v>
      </c>
      <c r="L37">
        <v>2</v>
      </c>
      <c r="M37">
        <v>3</v>
      </c>
      <c r="Y37" s="16"/>
      <c r="Z37" s="16"/>
      <c r="AA37" s="16"/>
    </row>
    <row r="38" spans="1:27" x14ac:dyDescent="0.35">
      <c r="D38">
        <v>2</v>
      </c>
      <c r="E38" s="16">
        <f>$I$2</f>
        <v>0.14080000000000001</v>
      </c>
      <c r="F38" s="16">
        <f>$J$2</f>
        <v>0.32979999999999998</v>
      </c>
      <c r="G38" s="16">
        <f>$K$2</f>
        <v>0.52939999999999998</v>
      </c>
      <c r="K38" s="16">
        <f>D39*E38</f>
        <v>9.6496435200000019E-6</v>
      </c>
      <c r="L38" s="16">
        <f>D39*F38</f>
        <v>2.260264512E-5</v>
      </c>
      <c r="M38" s="16">
        <f>D39*G38</f>
        <v>3.628211136E-5</v>
      </c>
    </row>
    <row r="39" spans="1:27" x14ac:dyDescent="0.35">
      <c r="D39" s="16">
        <v>6.8534400000000006E-5</v>
      </c>
    </row>
    <row r="40" spans="1:27" x14ac:dyDescent="0.35">
      <c r="Y40" s="16"/>
      <c r="Z40" s="16"/>
      <c r="AA40" s="16"/>
    </row>
    <row r="41" spans="1:27" x14ac:dyDescent="0.35">
      <c r="A41" t="s">
        <v>27</v>
      </c>
      <c r="E41">
        <v>1</v>
      </c>
      <c r="F41">
        <v>2</v>
      </c>
      <c r="G41">
        <v>3</v>
      </c>
      <c r="K41">
        <v>1</v>
      </c>
      <c r="L41">
        <v>2</v>
      </c>
      <c r="M41">
        <v>3</v>
      </c>
      <c r="Y41" s="16"/>
      <c r="Z41" s="16"/>
      <c r="AA41" s="16"/>
    </row>
    <row r="42" spans="1:27" x14ac:dyDescent="0.35">
      <c r="D42">
        <v>3</v>
      </c>
      <c r="E42" s="16">
        <f>$L$2</f>
        <v>5.9999999999999995E-4</v>
      </c>
      <c r="F42" s="16">
        <f>$M$2</f>
        <v>1.77E-2</v>
      </c>
      <c r="G42" s="16">
        <f>$N$2</f>
        <v>0.98170000000000002</v>
      </c>
      <c r="K42" s="16">
        <f>D43*E42</f>
        <v>2.2806854400000002E-6</v>
      </c>
      <c r="L42" s="16">
        <f>D43*F42</f>
        <v>6.7280220480000013E-5</v>
      </c>
      <c r="M42" s="16">
        <f>D43*G42</f>
        <v>3.7315814940800007E-3</v>
      </c>
    </row>
    <row r="43" spans="1:27" x14ac:dyDescent="0.35">
      <c r="D43" s="16">
        <v>3.8011424000000005E-3</v>
      </c>
      <c r="Y43" s="16"/>
      <c r="Z43" s="16"/>
      <c r="AA43" s="16"/>
    </row>
    <row r="45" spans="1:27" x14ac:dyDescent="0.35">
      <c r="A45" s="25"/>
      <c r="B45" s="25"/>
      <c r="C45" s="25"/>
      <c r="D45" s="25"/>
      <c r="E45">
        <v>1</v>
      </c>
      <c r="F45">
        <v>2</v>
      </c>
      <c r="G45">
        <v>3</v>
      </c>
      <c r="K45">
        <v>1</v>
      </c>
      <c r="L45">
        <v>2</v>
      </c>
      <c r="M45">
        <v>3</v>
      </c>
    </row>
    <row r="46" spans="1:27" x14ac:dyDescent="0.35">
      <c r="D46">
        <v>1</v>
      </c>
      <c r="E46" s="16">
        <f>$F$2</f>
        <v>0.94640000000000002</v>
      </c>
      <c r="F46" s="16">
        <f>$G$2</f>
        <v>2.6100000000000002E-2</v>
      </c>
      <c r="G46" s="16">
        <f>$H$2</f>
        <v>2.75E-2</v>
      </c>
      <c r="K46" s="16">
        <f>D47*E46</f>
        <v>4.1591326262886398E-2</v>
      </c>
      <c r="L46" s="16">
        <f>D47*F46</f>
        <v>1.1470135412736001E-3</v>
      </c>
      <c r="M46" s="16">
        <f>D47*G46</f>
        <v>1.2085391718399999E-3</v>
      </c>
    </row>
    <row r="47" spans="1:27" x14ac:dyDescent="0.35">
      <c r="D47" s="16">
        <v>4.3946878975999998E-2</v>
      </c>
    </row>
    <row r="49" spans="4:13" x14ac:dyDescent="0.35">
      <c r="E49">
        <v>1</v>
      </c>
      <c r="F49">
        <v>2</v>
      </c>
      <c r="G49">
        <v>3</v>
      </c>
      <c r="K49">
        <v>1</v>
      </c>
      <c r="L49">
        <v>2</v>
      </c>
      <c r="M49">
        <v>3</v>
      </c>
    </row>
    <row r="50" spans="4:13" x14ac:dyDescent="0.35">
      <c r="D50">
        <v>2</v>
      </c>
      <c r="E50" s="16">
        <f>$I$2</f>
        <v>0.14080000000000001</v>
      </c>
      <c r="F50" s="16">
        <f>$J$2</f>
        <v>0.32979999999999998</v>
      </c>
      <c r="G50" s="16">
        <f>$K$2</f>
        <v>0.52939999999999998</v>
      </c>
      <c r="K50" s="16">
        <f>D51*E50</f>
        <v>1.7064613969920004E-4</v>
      </c>
      <c r="L50" s="16">
        <f>D51*F50</f>
        <v>3.9970949483520004E-4</v>
      </c>
      <c r="M50" s="16">
        <f>D51*G50</f>
        <v>6.4161978946560005E-4</v>
      </c>
    </row>
    <row r="51" spans="4:13" x14ac:dyDescent="0.35">
      <c r="D51" s="16">
        <v>1.2119754240000002E-3</v>
      </c>
    </row>
    <row r="53" spans="4:13" x14ac:dyDescent="0.35">
      <c r="E53">
        <v>1</v>
      </c>
      <c r="F53">
        <v>2</v>
      </c>
      <c r="G53">
        <v>3</v>
      </c>
      <c r="K53">
        <v>1</v>
      </c>
      <c r="L53">
        <v>2</v>
      </c>
      <c r="M53">
        <v>3</v>
      </c>
    </row>
    <row r="54" spans="4:13" x14ac:dyDescent="0.35">
      <c r="D54">
        <v>3</v>
      </c>
      <c r="E54" s="16">
        <f>$L$2</f>
        <v>5.9999999999999995E-4</v>
      </c>
      <c r="F54" s="16">
        <f>$M$2</f>
        <v>1.77E-2</v>
      </c>
      <c r="G54" s="16">
        <f>$N$2</f>
        <v>0.98170000000000002</v>
      </c>
      <c r="K54" s="16">
        <f>D55*E54</f>
        <v>7.6619135999999996E-7</v>
      </c>
      <c r="L54" s="16">
        <f>D55*F54</f>
        <v>2.260264512E-5</v>
      </c>
      <c r="M54" s="16">
        <f>D55*G54</f>
        <v>1.25361676352E-3</v>
      </c>
    </row>
    <row r="55" spans="4:13" x14ac:dyDescent="0.35">
      <c r="D55" s="16">
        <v>1.2769856E-3</v>
      </c>
    </row>
    <row r="57" spans="4:13" x14ac:dyDescent="0.35">
      <c r="E57">
        <v>1</v>
      </c>
      <c r="F57">
        <v>2</v>
      </c>
      <c r="G57">
        <v>3</v>
      </c>
      <c r="K57">
        <v>1</v>
      </c>
      <c r="L57">
        <v>2</v>
      </c>
      <c r="M57">
        <v>3</v>
      </c>
    </row>
    <row r="58" spans="4:13" x14ac:dyDescent="0.35">
      <c r="D58">
        <v>1</v>
      </c>
      <c r="E58" s="16">
        <f>$F$2</f>
        <v>0.94640000000000002</v>
      </c>
      <c r="F58" s="16">
        <f>$G$2</f>
        <v>2.6100000000000002E-2</v>
      </c>
      <c r="G58" s="16">
        <f>$H$2</f>
        <v>2.75E-2</v>
      </c>
      <c r="K58" s="16">
        <f>D59*E58</f>
        <v>1.4493680686284798E-2</v>
      </c>
      <c r="L58" s="16">
        <f>D59*F58</f>
        <v>3.9970949483519999E-4</v>
      </c>
      <c r="M58" s="16">
        <f>D59*G58</f>
        <v>4.2114985087999992E-4</v>
      </c>
    </row>
    <row r="59" spans="4:13" x14ac:dyDescent="0.35">
      <c r="D59" s="16">
        <v>1.5314540031999998E-2</v>
      </c>
    </row>
    <row r="61" spans="4:13" x14ac:dyDescent="0.35">
      <c r="E61">
        <v>1</v>
      </c>
      <c r="F61">
        <v>2</v>
      </c>
      <c r="G61">
        <v>3</v>
      </c>
      <c r="K61">
        <v>1</v>
      </c>
      <c r="L61">
        <v>2</v>
      </c>
      <c r="M61">
        <v>3</v>
      </c>
    </row>
    <row r="62" spans="4:13" x14ac:dyDescent="0.35">
      <c r="D62">
        <v>2</v>
      </c>
      <c r="E62" s="16">
        <f>$I$2</f>
        <v>0.14080000000000001</v>
      </c>
      <c r="F62" s="16">
        <f>$J$2</f>
        <v>0.32979999999999998</v>
      </c>
      <c r="G62" s="16">
        <f>$K$2</f>
        <v>0.52939999999999998</v>
      </c>
      <c r="K62" s="16">
        <f>D63*E62</f>
        <v>5.0507353025535991E-3</v>
      </c>
      <c r="L62" s="16">
        <f>D63*F62</f>
        <v>1.1830486525441596E-2</v>
      </c>
      <c r="M62" s="16">
        <f>D63*G62</f>
        <v>1.8990477764004796E-2</v>
      </c>
    </row>
    <row r="63" spans="4:13" x14ac:dyDescent="0.35">
      <c r="D63" s="16">
        <v>3.5871699591999991E-2</v>
      </c>
    </row>
    <row r="65" spans="4:13" x14ac:dyDescent="0.35">
      <c r="E65">
        <v>1</v>
      </c>
      <c r="F65">
        <v>2</v>
      </c>
      <c r="G65">
        <v>3</v>
      </c>
      <c r="K65">
        <v>1</v>
      </c>
      <c r="L65">
        <v>2</v>
      </c>
      <c r="M65">
        <v>3</v>
      </c>
    </row>
    <row r="66" spans="4:13" x14ac:dyDescent="0.35">
      <c r="D66">
        <v>3</v>
      </c>
      <c r="E66" s="16">
        <f>$L$2</f>
        <v>5.9999999999999995E-4</v>
      </c>
      <c r="F66" s="16">
        <f>$M$2</f>
        <v>1.77E-2</v>
      </c>
      <c r="G66" s="16">
        <f>$N$2</f>
        <v>0.98170000000000002</v>
      </c>
      <c r="K66" s="16">
        <f>D67*E66</f>
        <v>3.4549080225599991E-5</v>
      </c>
      <c r="L66" s="16">
        <f>D67*F66</f>
        <v>1.0191978666551998E-3</v>
      </c>
      <c r="M66" s="16">
        <f>D67*G66</f>
        <v>5.6528053429119193E-2</v>
      </c>
    </row>
    <row r="67" spans="4:13" x14ac:dyDescent="0.35">
      <c r="D67" s="16">
        <v>5.7581800375999991E-2</v>
      </c>
    </row>
    <row r="69" spans="4:13" x14ac:dyDescent="0.35">
      <c r="E69">
        <v>1</v>
      </c>
      <c r="F69">
        <v>2</v>
      </c>
      <c r="G69">
        <v>3</v>
      </c>
      <c r="K69">
        <v>1</v>
      </c>
      <c r="L69">
        <v>2</v>
      </c>
      <c r="M69">
        <v>3</v>
      </c>
    </row>
    <row r="70" spans="4:13" x14ac:dyDescent="0.35">
      <c r="D70">
        <v>1</v>
      </c>
      <c r="E70" s="16">
        <f>$F$2</f>
        <v>0.94640000000000002</v>
      </c>
      <c r="F70" s="16">
        <f>$G$2</f>
        <v>2.6100000000000002E-2</v>
      </c>
      <c r="G70" s="16">
        <f>$H$2</f>
        <v>2.75E-2</v>
      </c>
      <c r="K70" s="16">
        <f>D71*E70</f>
        <v>9.9142660780799984E-5</v>
      </c>
      <c r="L70" s="16">
        <f>D71*F70</f>
        <v>2.7341752391999998E-6</v>
      </c>
      <c r="M70" s="16">
        <f>D71*G70</f>
        <v>2.8808359799999997E-6</v>
      </c>
    </row>
    <row r="71" spans="4:13" x14ac:dyDescent="0.35">
      <c r="D71" s="16">
        <v>1.0475767199999998E-4</v>
      </c>
    </row>
    <row r="73" spans="4:13" x14ac:dyDescent="0.35">
      <c r="E73">
        <v>1</v>
      </c>
      <c r="F73">
        <v>2</v>
      </c>
      <c r="G73">
        <v>3</v>
      </c>
      <c r="K73">
        <v>1</v>
      </c>
      <c r="L73">
        <v>2</v>
      </c>
      <c r="M73">
        <v>3</v>
      </c>
    </row>
    <row r="74" spans="4:13" x14ac:dyDescent="0.35">
      <c r="D74">
        <v>2</v>
      </c>
      <c r="E74" s="16">
        <f>$I$2</f>
        <v>0.14080000000000001</v>
      </c>
      <c r="F74" s="16">
        <f>$J$2</f>
        <v>0.32979999999999998</v>
      </c>
      <c r="G74" s="16">
        <f>$K$2</f>
        <v>0.52939999999999998</v>
      </c>
      <c r="K74" s="16">
        <f>D75*E74</f>
        <v>4.3512146641919999E-4</v>
      </c>
      <c r="L74" s="16">
        <f>D75*F74</f>
        <v>1.0191978666552E-3</v>
      </c>
      <c r="M74" s="16">
        <f>D75*G74</f>
        <v>1.6360319909255999E-3</v>
      </c>
    </row>
    <row r="75" spans="4:13" x14ac:dyDescent="0.35">
      <c r="D75" s="16">
        <v>3.0903513239999999E-3</v>
      </c>
    </row>
    <row r="77" spans="4:13" x14ac:dyDescent="0.35">
      <c r="E77">
        <v>1</v>
      </c>
      <c r="F77">
        <v>2</v>
      </c>
      <c r="G77">
        <v>3</v>
      </c>
      <c r="K77">
        <v>1</v>
      </c>
      <c r="L77">
        <v>2</v>
      </c>
      <c r="M77">
        <v>3</v>
      </c>
    </row>
    <row r="78" spans="4:13" x14ac:dyDescent="0.35">
      <c r="D78">
        <v>3</v>
      </c>
      <c r="E78" s="16">
        <f>$L$2</f>
        <v>5.9999999999999995E-4</v>
      </c>
      <c r="F78" s="16">
        <f>$M$2</f>
        <v>1.77E-2</v>
      </c>
      <c r="G78" s="16">
        <f>$N$2</f>
        <v>0.98170000000000002</v>
      </c>
      <c r="K78" s="16">
        <f>D79*E78</f>
        <v>1.0284060660239998E-4</v>
      </c>
      <c r="L78" s="16">
        <f>D79*F78</f>
        <v>3.0337978947708E-3</v>
      </c>
      <c r="M78" s="16">
        <f>D79*G78</f>
        <v>0.1682643725026268</v>
      </c>
    </row>
    <row r="79" spans="4:13" x14ac:dyDescent="0.35">
      <c r="D79" s="16">
        <v>0.17140101100399999</v>
      </c>
    </row>
    <row r="81" spans="2:14" x14ac:dyDescent="0.35">
      <c r="B81" s="26"/>
      <c r="C81" s="26"/>
      <c r="D81" s="26"/>
      <c r="E81">
        <v>1</v>
      </c>
      <c r="F81">
        <v>2</v>
      </c>
      <c r="G81">
        <v>3</v>
      </c>
      <c r="K81">
        <v>1</v>
      </c>
      <c r="L81">
        <v>2</v>
      </c>
      <c r="M81">
        <v>3</v>
      </c>
    </row>
    <row r="82" spans="2:14" x14ac:dyDescent="0.35">
      <c r="D82">
        <v>1</v>
      </c>
      <c r="E82" s="16">
        <f>$F$2</f>
        <v>0.94640000000000002</v>
      </c>
      <c r="F82" s="16">
        <f>$G$2</f>
        <v>2.6100000000000002E-2</v>
      </c>
      <c r="G82" s="16">
        <f>$H$2</f>
        <v>2.75E-2</v>
      </c>
      <c r="K82" s="16">
        <f>D83*E82</f>
        <v>2.8450155901439997E-4</v>
      </c>
      <c r="L82" s="16">
        <f>D83*F82</f>
        <v>7.8460383455999996E-6</v>
      </c>
      <c r="M82" s="16">
        <f>D83*G82</f>
        <v>8.2668986399999989E-6</v>
      </c>
    </row>
    <row r="83" spans="2:14" x14ac:dyDescent="0.35">
      <c r="D83" s="16">
        <v>3.0061449599999996E-4</v>
      </c>
    </row>
    <row r="85" spans="2:14" x14ac:dyDescent="0.35">
      <c r="E85">
        <v>1</v>
      </c>
      <c r="F85">
        <v>2</v>
      </c>
      <c r="G85">
        <v>3</v>
      </c>
      <c r="K85">
        <v>1</v>
      </c>
      <c r="L85">
        <v>2</v>
      </c>
      <c r="M85">
        <v>3</v>
      </c>
    </row>
    <row r="86" spans="2:14" x14ac:dyDescent="0.35">
      <c r="D86">
        <v>2</v>
      </c>
      <c r="E86" s="16">
        <f>$I$2</f>
        <v>0.14080000000000001</v>
      </c>
      <c r="F86" s="16">
        <f>$J$2</f>
        <v>0.32979999999999998</v>
      </c>
      <c r="G86" s="16">
        <f>$K$2</f>
        <v>0.52939999999999998</v>
      </c>
      <c r="K86" s="16">
        <f>D87*E86</f>
        <v>1.1672888832E-6</v>
      </c>
      <c r="L86" s="16">
        <f>D87*F86</f>
        <v>2.7341752391999994E-6</v>
      </c>
      <c r="M86" s="16">
        <f>D87*G86</f>
        <v>4.3889398775999993E-6</v>
      </c>
    </row>
    <row r="87" spans="2:14" x14ac:dyDescent="0.35">
      <c r="D87" s="16">
        <v>8.2904039999999987E-6</v>
      </c>
    </row>
    <row r="89" spans="2:14" x14ac:dyDescent="0.35">
      <c r="E89">
        <v>1</v>
      </c>
      <c r="F89">
        <v>2</v>
      </c>
      <c r="G89">
        <v>3</v>
      </c>
      <c r="K89">
        <v>1</v>
      </c>
      <c r="L89">
        <v>2</v>
      </c>
      <c r="M89">
        <v>3</v>
      </c>
      <c r="N89" s="16"/>
    </row>
    <row r="90" spans="2:14" x14ac:dyDescent="0.35">
      <c r="D90">
        <v>3</v>
      </c>
      <c r="E90" s="16">
        <f>$L$2</f>
        <v>5.9999999999999995E-4</v>
      </c>
      <c r="F90" s="16">
        <f>$M$2</f>
        <v>1.77E-2</v>
      </c>
      <c r="G90" s="16">
        <f>$N$2</f>
        <v>0.98170000000000002</v>
      </c>
      <c r="K90" s="16">
        <f>D91*E90</f>
        <v>5.2410599999999989E-9</v>
      </c>
      <c r="L90" s="16">
        <f>D91*F90</f>
        <v>1.5461126999999998E-7</v>
      </c>
      <c r="M90" s="16">
        <f>D91*G90</f>
        <v>8.5752476699999991E-6</v>
      </c>
    </row>
    <row r="91" spans="2:14" x14ac:dyDescent="0.35">
      <c r="D91" s="16">
        <v>8.7350999999999987E-6</v>
      </c>
    </row>
    <row r="93" spans="2:14" x14ac:dyDescent="0.35">
      <c r="E93">
        <v>1</v>
      </c>
      <c r="F93">
        <v>2</v>
      </c>
      <c r="G93">
        <v>3</v>
      </c>
      <c r="K93">
        <v>1</v>
      </c>
      <c r="L93">
        <v>2</v>
      </c>
      <c r="M93">
        <v>3</v>
      </c>
    </row>
    <row r="94" spans="2:14" x14ac:dyDescent="0.35">
      <c r="D94">
        <v>1</v>
      </c>
      <c r="E94" s="16">
        <f>$F$2</f>
        <v>0.94640000000000002</v>
      </c>
      <c r="F94" s="16">
        <f>$G$2</f>
        <v>2.6100000000000002E-2</v>
      </c>
      <c r="G94" s="16">
        <f>$H$2</f>
        <v>2.75E-2</v>
      </c>
      <c r="K94" s="16">
        <f>D95*E94</f>
        <v>1.2486323705855999E-3</v>
      </c>
      <c r="L94" s="16">
        <f>D95*F94</f>
        <v>3.4435022054400005E-5</v>
      </c>
      <c r="M94" s="16">
        <f>D95*G94</f>
        <v>3.628211136E-5</v>
      </c>
    </row>
    <row r="95" spans="2:14" x14ac:dyDescent="0.35">
      <c r="D95" s="16">
        <v>1.319349504E-3</v>
      </c>
    </row>
    <row r="97" spans="4:13" x14ac:dyDescent="0.35">
      <c r="E97">
        <v>1</v>
      </c>
      <c r="F97">
        <v>2</v>
      </c>
      <c r="G97">
        <v>3</v>
      </c>
      <c r="K97">
        <v>1</v>
      </c>
      <c r="L97">
        <v>2</v>
      </c>
      <c r="M97">
        <v>3</v>
      </c>
    </row>
    <row r="98" spans="4:13" x14ac:dyDescent="0.35">
      <c r="D98">
        <v>2</v>
      </c>
      <c r="E98" s="16">
        <f>$I$2</f>
        <v>0.14080000000000001</v>
      </c>
      <c r="F98" s="16">
        <f>$J$2</f>
        <v>0.32979999999999998</v>
      </c>
      <c r="G98" s="16">
        <f>$K$2</f>
        <v>0.52939999999999998</v>
      </c>
      <c r="K98" s="16">
        <f>D99*E98</f>
        <v>4.3512146641919993E-4</v>
      </c>
      <c r="L98" s="16">
        <f>D99*F98</f>
        <v>1.0191978666551998E-3</v>
      </c>
      <c r="M98" s="16">
        <f>D99*G98</f>
        <v>1.6360319909255996E-3</v>
      </c>
    </row>
    <row r="99" spans="4:13" x14ac:dyDescent="0.35">
      <c r="D99" s="16">
        <v>3.0903513239999994E-3</v>
      </c>
    </row>
    <row r="101" spans="4:13" x14ac:dyDescent="0.35">
      <c r="E101">
        <v>1</v>
      </c>
      <c r="F101">
        <v>2</v>
      </c>
      <c r="G101">
        <v>3</v>
      </c>
      <c r="K101">
        <v>1</v>
      </c>
      <c r="L101">
        <v>2</v>
      </c>
      <c r="M101">
        <v>3</v>
      </c>
    </row>
    <row r="102" spans="4:13" x14ac:dyDescent="0.35">
      <c r="D102">
        <v>3</v>
      </c>
      <c r="E102" s="16">
        <f>$L$2</f>
        <v>5.9999999999999995E-4</v>
      </c>
      <c r="F102" s="16">
        <f>$M$2</f>
        <v>1.77E-2</v>
      </c>
      <c r="G102" s="16">
        <f>$N$2</f>
        <v>0.98170000000000002</v>
      </c>
      <c r="K102" s="16">
        <f>D103*E102</f>
        <v>2.9764075031999991E-6</v>
      </c>
      <c r="L102" s="16">
        <f>D103*F102</f>
        <v>8.780402134439999E-5</v>
      </c>
      <c r="M102" s="16">
        <f>D103*G102</f>
        <v>4.8698987431523991E-3</v>
      </c>
    </row>
    <row r="103" spans="4:13" x14ac:dyDescent="0.35">
      <c r="D103" s="16">
        <v>4.9606791719999993E-3</v>
      </c>
    </row>
    <row r="105" spans="4:13" x14ac:dyDescent="0.35">
      <c r="E105">
        <v>1</v>
      </c>
      <c r="F105">
        <v>2</v>
      </c>
      <c r="G105">
        <v>3</v>
      </c>
      <c r="K105">
        <v>1</v>
      </c>
      <c r="L105">
        <v>2</v>
      </c>
      <c r="M105">
        <v>3</v>
      </c>
    </row>
    <row r="106" spans="4:13" x14ac:dyDescent="0.35">
      <c r="D106">
        <v>1</v>
      </c>
      <c r="E106" s="16">
        <f>$F$2</f>
        <v>0.94640000000000002</v>
      </c>
      <c r="F106" s="16">
        <f>$G$2</f>
        <v>2.6100000000000002E-2</v>
      </c>
      <c r="G106" s="16">
        <f>$H$2</f>
        <v>2.75E-2</v>
      </c>
      <c r="K106" s="16">
        <f>D107*E106</f>
        <v>2.9511325072319996E-4</v>
      </c>
      <c r="L106" s="16">
        <f>D107*F106</f>
        <v>8.1386896067999992E-6</v>
      </c>
      <c r="M106" s="16">
        <f>D107*G106</f>
        <v>8.5752476699999975E-6</v>
      </c>
    </row>
    <row r="107" spans="4:13" x14ac:dyDescent="0.35">
      <c r="D107" s="16">
        <v>3.1182718799999993E-4</v>
      </c>
    </row>
    <row r="109" spans="4:13" x14ac:dyDescent="0.35">
      <c r="E109">
        <v>1</v>
      </c>
      <c r="F109">
        <v>2</v>
      </c>
      <c r="G109">
        <v>3</v>
      </c>
      <c r="K109">
        <v>1</v>
      </c>
      <c r="L109">
        <v>2</v>
      </c>
      <c r="M109">
        <v>3</v>
      </c>
    </row>
    <row r="110" spans="4:13" x14ac:dyDescent="0.35">
      <c r="D110">
        <v>2</v>
      </c>
      <c r="E110" s="16">
        <f>$I$2</f>
        <v>0.14080000000000001</v>
      </c>
      <c r="F110" s="16">
        <f>$J$2</f>
        <v>0.32979999999999998</v>
      </c>
      <c r="G110" s="16">
        <f>$K$2</f>
        <v>0.52939999999999998</v>
      </c>
      <c r="K110" s="16">
        <f>D111*E110</f>
        <v>1.2952054080768E-3</v>
      </c>
      <c r="L110" s="16">
        <f>D111*F110</f>
        <v>3.0337978947707995E-3</v>
      </c>
      <c r="M110" s="16">
        <f>D111*G110</f>
        <v>4.8698987431523991E-3</v>
      </c>
    </row>
    <row r="111" spans="4:13" x14ac:dyDescent="0.35">
      <c r="D111" s="16">
        <v>9.1989020459999991E-3</v>
      </c>
    </row>
    <row r="113" spans="4:13" x14ac:dyDescent="0.35">
      <c r="E113">
        <v>1</v>
      </c>
      <c r="F113">
        <v>2</v>
      </c>
      <c r="G113">
        <v>3</v>
      </c>
      <c r="K113">
        <v>1</v>
      </c>
      <c r="L113">
        <v>2</v>
      </c>
      <c r="M113">
        <v>3</v>
      </c>
    </row>
    <row r="114" spans="4:13" x14ac:dyDescent="0.35">
      <c r="D114">
        <v>3</v>
      </c>
      <c r="E114" s="16">
        <f>$L$2</f>
        <v>5.9999999999999995E-4</v>
      </c>
      <c r="F114" s="16">
        <f>$M$2</f>
        <v>1.77E-2</v>
      </c>
      <c r="G114" s="16">
        <f>$N$2</f>
        <v>0.98170000000000002</v>
      </c>
      <c r="K114" s="16">
        <f>D115*E114</f>
        <v>3.0612075045959996E-4</v>
      </c>
      <c r="L114" s="16">
        <f>D115*F114</f>
        <v>9.0305621385582003E-3</v>
      </c>
      <c r="M114" s="16">
        <f>D115*G114</f>
        <v>0.50086456787698219</v>
      </c>
    </row>
    <row r="115" spans="4:13" x14ac:dyDescent="0.35">
      <c r="D115" s="16">
        <v>0.51020125076599998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5310-4587-40C3-841E-D385EFAD3233}">
  <dimension ref="A1:AE336"/>
  <sheetViews>
    <sheetView zoomScale="55" zoomScaleNormal="55" workbookViewId="0">
      <selection activeCell="P324" sqref="P324"/>
    </sheetView>
  </sheetViews>
  <sheetFormatPr defaultRowHeight="14.5" x14ac:dyDescent="0.35"/>
  <sheetData>
    <row r="1" spans="4:31" ht="15" thickBot="1" x14ac:dyDescent="0.4"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4:31" x14ac:dyDescent="0.35"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13" spans="4:31" x14ac:dyDescent="0.35">
      <c r="R13" s="18">
        <v>1</v>
      </c>
      <c r="S13" s="18">
        <v>2</v>
      </c>
      <c r="T13" s="18">
        <v>3</v>
      </c>
      <c r="U13" s="18" t="s">
        <v>15</v>
      </c>
    </row>
    <row r="14" spans="4:31" x14ac:dyDescent="0.35">
      <c r="E14">
        <v>1</v>
      </c>
      <c r="F14">
        <v>2</v>
      </c>
      <c r="G14">
        <v>3</v>
      </c>
      <c r="K14">
        <v>1</v>
      </c>
      <c r="L14">
        <v>2</v>
      </c>
      <c r="M14">
        <v>3</v>
      </c>
      <c r="R14" s="16">
        <f>K15+K19+K23+K27+K31+K35+K39+K43+K47+K51+K55+K59+K63+K67+K71+K75+K79+K83+K87+K91+K95+K99+K103+K107+K111+K115+K119+K123+K127+K131+K135+K139+K143+K147+K151+K155+K159+K163+K167+K171+K175+K179+K183+K187+K191+K195+K199+K203+K207+K211+K215+K219+K223+K227+K231+K235+K239+K243+K247+K251+K255+K259+K263+K267+K271+K275+K279+K283+K287+K291+K295+K299+K303+K307+K311+K315+K319+K323+K327+K331+K335</f>
        <v>0.18207236880191779</v>
      </c>
      <c r="S14" s="16">
        <f t="shared" ref="S14:T14" si="0">L15+L19+L23+L27+L31+L35+L39+L43+L47+L51+L55+L59+L63+L67+L71+L75+L79+L83+L87+L91+L95+L99+L103+L107+L111+L115+L119+L123+L127+L131+L135+L139+L143+L147+L151+L155+L159+L163+L167+L171+L175+L179+L183+L187+L191+L195+L199+L203+L207+L211+L215+L219+L223+L227+L231+L235+L239+L243+L247+L251+L255+L259+L263+L267+L271+L275+L279+L283+L287+L291+L295+L299+L303+L307+L311+L315+L319+L323+L327+L331+L335</f>
        <v>3.0856895962934991E-2</v>
      </c>
      <c r="T14" s="16">
        <f t="shared" si="0"/>
        <v>0.78707073523514726</v>
      </c>
      <c r="U14" s="16">
        <f>R14+S14+T14</f>
        <v>1</v>
      </c>
      <c r="X14" s="26"/>
      <c r="Y14" s="26"/>
      <c r="Z14" s="26"/>
      <c r="AA14" s="26"/>
      <c r="AB14" s="26"/>
      <c r="AC14" s="26"/>
      <c r="AD14" s="26"/>
      <c r="AE14" s="26"/>
    </row>
    <row r="15" spans="4:31" x14ac:dyDescent="0.35">
      <c r="D15">
        <v>1</v>
      </c>
      <c r="E15" s="16">
        <f>$F$2</f>
        <v>0.94640000000000002</v>
      </c>
      <c r="F15" s="16">
        <f>$G$2</f>
        <v>2.6100000000000002E-2</v>
      </c>
      <c r="G15" s="16">
        <f>$H$2</f>
        <v>2.75E-2</v>
      </c>
      <c r="K15" s="16">
        <f>D16*E15</f>
        <v>0.11295399121954278</v>
      </c>
      <c r="L15" s="16">
        <f>D16*F15</f>
        <v>3.1150667485524797E-3</v>
      </c>
      <c r="M15" s="16">
        <f>D16*G15</f>
        <v>3.2821584515399689E-3</v>
      </c>
      <c r="X15" s="26"/>
      <c r="Y15" s="26"/>
      <c r="Z15" s="26"/>
      <c r="AA15" s="26"/>
      <c r="AB15" s="26"/>
      <c r="AC15" s="26"/>
      <c r="AD15" s="26"/>
      <c r="AE15" s="26"/>
    </row>
    <row r="16" spans="4:31" x14ac:dyDescent="0.35">
      <c r="D16" s="16">
        <v>0.11935121641963523</v>
      </c>
      <c r="X16" s="26"/>
      <c r="Y16" s="26"/>
      <c r="Z16" s="26"/>
      <c r="AA16" s="26"/>
      <c r="AB16" s="26"/>
      <c r="AC16" s="26"/>
      <c r="AD16" s="26"/>
      <c r="AE16" s="26"/>
    </row>
    <row r="17" spans="1:31" x14ac:dyDescent="0.35">
      <c r="X17" s="26"/>
      <c r="Y17" s="26"/>
      <c r="Z17" s="26"/>
      <c r="AA17" s="26"/>
      <c r="AB17" s="26"/>
      <c r="AC17" s="26"/>
      <c r="AD17" s="26"/>
      <c r="AE17" s="26"/>
    </row>
    <row r="18" spans="1:31" x14ac:dyDescent="0.35">
      <c r="E18">
        <v>1</v>
      </c>
      <c r="F18">
        <v>2</v>
      </c>
      <c r="G18">
        <v>3</v>
      </c>
      <c r="K18">
        <v>1</v>
      </c>
      <c r="L18">
        <v>2</v>
      </c>
      <c r="M18">
        <v>3</v>
      </c>
      <c r="X18" s="26"/>
      <c r="Y18" s="27"/>
      <c r="Z18" s="27"/>
      <c r="AA18" s="27"/>
      <c r="AB18" s="26"/>
      <c r="AC18" s="26"/>
      <c r="AD18" s="26"/>
      <c r="AE18" s="26"/>
    </row>
    <row r="19" spans="1:31" x14ac:dyDescent="0.35">
      <c r="D19">
        <v>2</v>
      </c>
      <c r="E19" s="16">
        <f>$I$2</f>
        <v>0.14080000000000001</v>
      </c>
      <c r="F19" s="16">
        <f>$J$2</f>
        <v>0.32979999999999998</v>
      </c>
      <c r="G19" s="16">
        <f>$K$2</f>
        <v>0.52939999999999998</v>
      </c>
      <c r="K19" s="16">
        <f>D20*E19</f>
        <v>4.6344188313206795E-4</v>
      </c>
      <c r="L19" s="16">
        <f>D20*F19</f>
        <v>1.0855336154613352E-3</v>
      </c>
      <c r="M19" s="16">
        <f>D20*G19</f>
        <v>1.7425151486513974E-3</v>
      </c>
      <c r="X19" s="26"/>
      <c r="Y19" s="26"/>
      <c r="Z19" s="26"/>
      <c r="AA19" s="26"/>
      <c r="AB19" s="26"/>
      <c r="AC19" s="26"/>
      <c r="AD19" s="26"/>
      <c r="AE19" s="26"/>
    </row>
    <row r="20" spans="1:31" x14ac:dyDescent="0.35">
      <c r="D20" s="16">
        <v>3.2914906472448005E-3</v>
      </c>
      <c r="X20" s="26"/>
      <c r="Y20" s="26"/>
      <c r="Z20" s="27"/>
      <c r="AA20" s="27"/>
      <c r="AB20" s="26"/>
      <c r="AC20" s="26"/>
      <c r="AD20" s="26"/>
      <c r="AE20" s="26"/>
    </row>
    <row r="21" spans="1:31" x14ac:dyDescent="0.35">
      <c r="X21" s="26"/>
      <c r="Y21" s="26"/>
      <c r="Z21" s="26"/>
      <c r="AA21" s="26"/>
      <c r="AB21" s="26"/>
      <c r="AC21" s="26"/>
      <c r="AD21" s="26"/>
      <c r="AE21" s="26"/>
    </row>
    <row r="22" spans="1:31" x14ac:dyDescent="0.35">
      <c r="E22">
        <v>1</v>
      </c>
      <c r="F22">
        <v>2</v>
      </c>
      <c r="G22">
        <v>3</v>
      </c>
      <c r="K22">
        <v>1</v>
      </c>
      <c r="L22">
        <v>2</v>
      </c>
      <c r="M22">
        <v>3</v>
      </c>
      <c r="X22" s="26"/>
      <c r="Y22" s="27"/>
      <c r="Z22" s="27"/>
      <c r="AA22" s="27"/>
      <c r="AB22" s="26"/>
      <c r="AC22" s="26"/>
      <c r="AD22" s="26"/>
      <c r="AE22" s="26"/>
    </row>
    <row r="23" spans="1:31" x14ac:dyDescent="0.35">
      <c r="D23">
        <v>3</v>
      </c>
      <c r="E23" s="16">
        <f>$L$2</f>
        <v>5.9999999999999995E-4</v>
      </c>
      <c r="F23" s="16">
        <f>$M$2</f>
        <v>1.77E-2</v>
      </c>
      <c r="G23" s="16">
        <f>$N$2</f>
        <v>0.98170000000000002</v>
      </c>
      <c r="K23" s="16">
        <f>D24*E23</f>
        <v>2.0808274206719999E-6</v>
      </c>
      <c r="L23" s="16">
        <f>D24*F23</f>
        <v>6.1384408909824004E-5</v>
      </c>
      <c r="M23" s="16">
        <f>D24*G23</f>
        <v>3.4045804647895046E-3</v>
      </c>
      <c r="X23" s="26"/>
      <c r="Y23" s="26"/>
      <c r="Z23" s="27"/>
      <c r="AA23" s="27"/>
      <c r="AB23" s="26"/>
      <c r="AC23" s="26"/>
      <c r="AD23" s="26"/>
      <c r="AE23" s="26"/>
    </row>
    <row r="24" spans="1:31" x14ac:dyDescent="0.35">
      <c r="D24" s="16">
        <v>3.4680457011200005E-3</v>
      </c>
      <c r="X24" s="26"/>
      <c r="Y24" s="26"/>
      <c r="Z24" s="26"/>
      <c r="AA24" s="26"/>
      <c r="AB24" s="26"/>
      <c r="AC24" s="26"/>
      <c r="AD24" s="26"/>
      <c r="AE24" s="26"/>
    </row>
    <row r="25" spans="1:31" x14ac:dyDescent="0.35">
      <c r="X25" s="26"/>
      <c r="Y25" s="26"/>
      <c r="Z25" s="26"/>
      <c r="AA25" s="26"/>
      <c r="AB25" s="26"/>
      <c r="AC25" s="26"/>
      <c r="AD25" s="26"/>
      <c r="AE25" s="26"/>
    </row>
    <row r="26" spans="1:31" x14ac:dyDescent="0.35">
      <c r="E26">
        <v>1</v>
      </c>
      <c r="F26">
        <v>2</v>
      </c>
      <c r="G26">
        <v>3</v>
      </c>
      <c r="K26">
        <v>1</v>
      </c>
      <c r="L26">
        <v>2</v>
      </c>
      <c r="M26">
        <v>3</v>
      </c>
      <c r="X26" s="26"/>
      <c r="Y26" s="27"/>
      <c r="Z26" s="27"/>
      <c r="AA26" s="27"/>
      <c r="AB26" s="26"/>
      <c r="AC26" s="26"/>
      <c r="AD26" s="26"/>
      <c r="AE26" s="26"/>
    </row>
    <row r="27" spans="1:31" x14ac:dyDescent="0.35">
      <c r="D27">
        <v>1</v>
      </c>
      <c r="E27" s="16">
        <f>$F$2</f>
        <v>0.94640000000000002</v>
      </c>
      <c r="F27" s="16">
        <f>$G$2</f>
        <v>2.6100000000000002E-2</v>
      </c>
      <c r="G27" s="16">
        <f>$H$2</f>
        <v>2.75E-2</v>
      </c>
      <c r="K27" s="16">
        <f>D28*E27</f>
        <v>4.6344188313206795E-4</v>
      </c>
      <c r="L27" s="16">
        <f>D28*F27</f>
        <v>1.2780888788828164E-5</v>
      </c>
      <c r="M27" s="16">
        <f>D28*G27</f>
        <v>1.3466453704704002E-5</v>
      </c>
      <c r="X27" s="26"/>
      <c r="Y27" s="26"/>
      <c r="Z27" s="26"/>
      <c r="AA27" s="26"/>
      <c r="AB27" s="26"/>
      <c r="AC27" s="26"/>
      <c r="AD27" s="26"/>
      <c r="AE27" s="26"/>
    </row>
    <row r="28" spans="1:31" x14ac:dyDescent="0.35">
      <c r="D28" s="16">
        <v>4.8968922562560009E-4</v>
      </c>
      <c r="Q28" s="16"/>
      <c r="R28" s="16"/>
      <c r="X28" s="26"/>
      <c r="Y28" s="26"/>
      <c r="Z28" s="26"/>
      <c r="AA28" s="26"/>
      <c r="AB28" s="26"/>
      <c r="AC28" s="26"/>
      <c r="AD28" s="26"/>
      <c r="AE28" s="26"/>
    </row>
    <row r="29" spans="1:31" x14ac:dyDescent="0.35">
      <c r="X29" s="26"/>
      <c r="Y29" s="26"/>
      <c r="Z29" s="26"/>
      <c r="AA29" s="26"/>
      <c r="AB29" s="26"/>
      <c r="AC29" s="26"/>
      <c r="AD29" s="26"/>
      <c r="AE29" s="26"/>
    </row>
    <row r="30" spans="1:31" x14ac:dyDescent="0.35">
      <c r="E30">
        <v>1</v>
      </c>
      <c r="F30">
        <v>2</v>
      </c>
      <c r="G30">
        <v>3</v>
      </c>
      <c r="K30">
        <v>1</v>
      </c>
      <c r="L30">
        <v>2</v>
      </c>
      <c r="M30">
        <v>3</v>
      </c>
      <c r="X30" s="26"/>
      <c r="Y30" s="27"/>
      <c r="Z30" s="27"/>
      <c r="AA30" s="27"/>
      <c r="AB30" s="26"/>
      <c r="AC30" s="26"/>
      <c r="AD30" s="26"/>
      <c r="AE30" s="26"/>
    </row>
    <row r="31" spans="1:31" x14ac:dyDescent="0.35">
      <c r="A31" t="s">
        <v>25</v>
      </c>
      <c r="D31">
        <v>2</v>
      </c>
      <c r="E31" s="16">
        <f>$I$2</f>
        <v>0.14080000000000001</v>
      </c>
      <c r="F31" s="16">
        <f>$J$2</f>
        <v>0.32979999999999998</v>
      </c>
      <c r="G31" s="16">
        <f>$K$2</f>
        <v>0.52939999999999998</v>
      </c>
      <c r="K31" s="16">
        <f>D32*E31</f>
        <v>1.6149950661132289E-4</v>
      </c>
      <c r="L31" s="16">
        <f>D32*F31</f>
        <v>3.7828506591203328E-4</v>
      </c>
      <c r="M31" s="16">
        <f>D32*G31</f>
        <v>6.0722896875024389E-4</v>
      </c>
      <c r="Q31" s="16"/>
      <c r="R31" s="16"/>
      <c r="X31" s="26"/>
      <c r="Y31" s="26"/>
      <c r="Z31" s="27"/>
      <c r="AA31" s="27"/>
      <c r="AB31" s="26"/>
      <c r="AC31" s="26"/>
      <c r="AD31" s="26"/>
      <c r="AE31" s="26"/>
    </row>
    <row r="32" spans="1:31" x14ac:dyDescent="0.35">
      <c r="D32" s="16">
        <v>1.1470135412736001E-3</v>
      </c>
      <c r="X32" s="26"/>
      <c r="Y32" s="26"/>
      <c r="Z32" s="26"/>
      <c r="AA32" s="26"/>
      <c r="AB32" s="26"/>
      <c r="AC32" s="26"/>
      <c r="AD32" s="26"/>
      <c r="AE32" s="26"/>
    </row>
    <row r="33" spans="4:31" x14ac:dyDescent="0.35">
      <c r="X33" s="26"/>
      <c r="Y33" s="26"/>
      <c r="Z33" s="26"/>
      <c r="AA33" s="26"/>
      <c r="AB33" s="26"/>
      <c r="AC33" s="26"/>
      <c r="AD33" s="26"/>
      <c r="AE33" s="26"/>
    </row>
    <row r="34" spans="4:31" x14ac:dyDescent="0.35">
      <c r="E34">
        <v>1</v>
      </c>
      <c r="F34">
        <v>2</v>
      </c>
      <c r="G34">
        <v>3</v>
      </c>
      <c r="K34">
        <v>1</v>
      </c>
      <c r="L34">
        <v>2</v>
      </c>
      <c r="M34">
        <v>3</v>
      </c>
      <c r="X34" s="26"/>
      <c r="Y34" s="27"/>
      <c r="Z34" s="27"/>
      <c r="AA34" s="27"/>
      <c r="AB34" s="26"/>
      <c r="AC34" s="26"/>
      <c r="AD34" s="26"/>
      <c r="AE34" s="26"/>
    </row>
    <row r="35" spans="4:31" x14ac:dyDescent="0.35">
      <c r="D35">
        <v>3</v>
      </c>
      <c r="E35" s="16">
        <f>$L$2</f>
        <v>5.9999999999999995E-4</v>
      </c>
      <c r="F35" s="16">
        <f>$M$2</f>
        <v>1.77E-2</v>
      </c>
      <c r="G35" s="16">
        <f>$N$2</f>
        <v>0.98170000000000002</v>
      </c>
      <c r="K35" s="16">
        <f>D36*E35</f>
        <v>1.1047221990604798E-6</v>
      </c>
      <c r="L35" s="16">
        <f>D36*F35</f>
        <v>3.2589304872284159E-5</v>
      </c>
      <c r="M35" s="16">
        <f>D36*G35</f>
        <v>1.8075096380294553E-3</v>
      </c>
      <c r="X35" s="26"/>
      <c r="Y35" s="26"/>
      <c r="Z35" s="26"/>
      <c r="AA35" s="26"/>
      <c r="AB35" s="26"/>
      <c r="AC35" s="26"/>
      <c r="AD35" s="26"/>
      <c r="AE35" s="26"/>
    </row>
    <row r="36" spans="4:31" x14ac:dyDescent="0.35">
      <c r="D36" s="16">
        <v>1.8412036651008E-3</v>
      </c>
      <c r="X36" s="26"/>
      <c r="Y36" s="25"/>
      <c r="Z36" s="25"/>
      <c r="AA36" s="25"/>
      <c r="AB36" s="25"/>
      <c r="AC36" s="25"/>
      <c r="AD36" s="26"/>
      <c r="AE36" s="26"/>
    </row>
    <row r="37" spans="4:31" x14ac:dyDescent="0.35">
      <c r="X37" s="26"/>
      <c r="Y37" s="26"/>
      <c r="Z37" s="26"/>
      <c r="AA37" s="26"/>
      <c r="AB37" s="26"/>
      <c r="AC37" s="26"/>
      <c r="AD37" s="26"/>
      <c r="AE37" s="26"/>
    </row>
    <row r="38" spans="4:31" x14ac:dyDescent="0.35">
      <c r="E38">
        <v>1</v>
      </c>
      <c r="F38">
        <v>2</v>
      </c>
      <c r="G38">
        <v>3</v>
      </c>
      <c r="K38">
        <v>1</v>
      </c>
      <c r="L38">
        <v>2</v>
      </c>
      <c r="M38">
        <v>3</v>
      </c>
      <c r="X38" s="26"/>
      <c r="Y38" s="27"/>
      <c r="Z38" s="27"/>
      <c r="AA38" s="27"/>
      <c r="AB38" s="26"/>
      <c r="AC38" s="26"/>
      <c r="AD38" s="26"/>
      <c r="AE38" s="26"/>
    </row>
    <row r="39" spans="4:31" x14ac:dyDescent="0.35">
      <c r="D39">
        <v>1</v>
      </c>
      <c r="E39" s="16">
        <f>$F$2</f>
        <v>0.94640000000000002</v>
      </c>
      <c r="F39" s="16">
        <f>$G$2</f>
        <v>2.6100000000000002E-2</v>
      </c>
      <c r="G39" s="16">
        <f>$H$2</f>
        <v>2.75E-2</v>
      </c>
      <c r="K39" s="16">
        <f>D40*E39</f>
        <v>2.0808274206719999E-6</v>
      </c>
      <c r="L39" s="16">
        <f>D40*F39</f>
        <v>5.7385456128000006E-8</v>
      </c>
      <c r="M39" s="16">
        <f>D40*G39</f>
        <v>6.0463603199999997E-8</v>
      </c>
      <c r="Q39" s="16"/>
      <c r="R39" s="16"/>
      <c r="X39" s="26"/>
      <c r="Y39" s="26"/>
      <c r="Z39" s="26"/>
      <c r="AA39" s="26"/>
      <c r="AB39" s="26"/>
      <c r="AC39" s="26"/>
      <c r="AD39" s="26"/>
      <c r="AE39" s="26"/>
    </row>
    <row r="40" spans="4:31" x14ac:dyDescent="0.35">
      <c r="D40" s="16">
        <v>2.19867648E-6</v>
      </c>
      <c r="X40" s="26"/>
      <c r="Y40" s="26"/>
      <c r="Z40" s="26"/>
      <c r="AA40" s="26"/>
      <c r="AB40" s="26"/>
      <c r="AC40" s="26"/>
      <c r="AD40" s="26"/>
      <c r="AE40" s="26"/>
    </row>
    <row r="41" spans="4:31" x14ac:dyDescent="0.35">
      <c r="X41" s="26"/>
      <c r="Y41" s="26"/>
      <c r="Z41" s="26"/>
      <c r="AA41" s="26"/>
      <c r="AB41" s="26"/>
      <c r="AC41" s="26"/>
      <c r="AD41" s="26"/>
      <c r="AE41" s="26"/>
    </row>
    <row r="42" spans="4:31" x14ac:dyDescent="0.35">
      <c r="E42">
        <v>1</v>
      </c>
      <c r="F42">
        <v>2</v>
      </c>
      <c r="G42">
        <v>3</v>
      </c>
      <c r="K42">
        <v>1</v>
      </c>
      <c r="L42">
        <v>2</v>
      </c>
      <c r="M42">
        <v>3</v>
      </c>
      <c r="X42" s="26"/>
      <c r="Y42" s="26"/>
      <c r="Z42" s="26"/>
      <c r="AA42" s="26"/>
      <c r="AB42" s="26"/>
      <c r="AC42" s="26"/>
      <c r="AD42" s="26"/>
      <c r="AE42" s="26"/>
    </row>
    <row r="43" spans="4:31" x14ac:dyDescent="0.35">
      <c r="D43">
        <v>2</v>
      </c>
      <c r="E43" s="16">
        <f>$I$2</f>
        <v>0.14080000000000001</v>
      </c>
      <c r="F43" s="16">
        <f>$J$2</f>
        <v>0.32979999999999998</v>
      </c>
      <c r="G43" s="16">
        <f>$K$2</f>
        <v>0.52939999999999998</v>
      </c>
      <c r="K43" s="16">
        <f>D44*E43</f>
        <v>9.1324226273280025E-6</v>
      </c>
      <c r="L43" s="16">
        <f>D44*F43</f>
        <v>2.1391143341568001E-5</v>
      </c>
      <c r="M43" s="16">
        <f>D44*G43</f>
        <v>3.4337390191104003E-5</v>
      </c>
      <c r="X43" s="26"/>
      <c r="Y43" s="26"/>
      <c r="Z43" s="26"/>
      <c r="AA43" s="26"/>
      <c r="AB43" s="26"/>
      <c r="AC43" s="26"/>
      <c r="AD43" s="26"/>
      <c r="AE43" s="26"/>
    </row>
    <row r="44" spans="4:31" x14ac:dyDescent="0.35">
      <c r="D44" s="16">
        <v>6.4860956160000012E-5</v>
      </c>
      <c r="X44" s="26"/>
      <c r="Y44" s="26"/>
      <c r="Z44" s="26"/>
      <c r="AA44" s="26"/>
      <c r="AB44" s="26"/>
      <c r="AC44" s="26"/>
      <c r="AD44" s="26"/>
      <c r="AE44" s="26"/>
    </row>
    <row r="45" spans="4:31" x14ac:dyDescent="0.35">
      <c r="X45" s="26"/>
      <c r="Y45" s="26"/>
      <c r="Z45" s="26"/>
      <c r="AA45" s="26"/>
      <c r="AB45" s="26"/>
      <c r="AC45" s="26"/>
      <c r="AD45" s="26"/>
      <c r="AE45" s="26"/>
    </row>
    <row r="46" spans="4:31" x14ac:dyDescent="0.35">
      <c r="E46">
        <v>1</v>
      </c>
      <c r="F46">
        <v>2</v>
      </c>
      <c r="G46">
        <v>3</v>
      </c>
      <c r="K46">
        <v>1</v>
      </c>
      <c r="L46">
        <v>2</v>
      </c>
      <c r="M46">
        <v>3</v>
      </c>
      <c r="P46" s="16"/>
      <c r="Q46" s="16"/>
      <c r="R46" s="16"/>
      <c r="X46" s="26"/>
      <c r="Y46" s="26"/>
      <c r="Z46" s="26"/>
      <c r="AA46" s="26"/>
      <c r="AB46" s="26"/>
      <c r="AC46" s="26"/>
      <c r="AD46" s="26"/>
      <c r="AE46" s="26"/>
    </row>
    <row r="47" spans="4:31" x14ac:dyDescent="0.35">
      <c r="D47">
        <v>3</v>
      </c>
      <c r="E47" s="16">
        <f>$L$2</f>
        <v>5.9999999999999995E-4</v>
      </c>
      <c r="F47" s="16">
        <f>$M$2</f>
        <v>1.77E-2</v>
      </c>
      <c r="G47" s="16">
        <f>$N$2</f>
        <v>0.98170000000000002</v>
      </c>
      <c r="K47" s="16">
        <f>D48*E47</f>
        <v>2.1584407004160001E-6</v>
      </c>
      <c r="L47" s="16">
        <f>D48*F47</f>
        <v>6.3674000662272009E-5</v>
      </c>
      <c r="M47" s="16">
        <f>D48*G47</f>
        <v>3.5315687259973127E-3</v>
      </c>
      <c r="X47" s="26"/>
      <c r="Y47" s="26"/>
      <c r="Z47" s="26"/>
      <c r="AA47" s="26"/>
      <c r="AB47" s="26"/>
      <c r="AC47" s="26"/>
      <c r="AD47" s="26"/>
      <c r="AE47" s="26"/>
    </row>
    <row r="48" spans="4:31" x14ac:dyDescent="0.35">
      <c r="D48" s="16">
        <v>3.5974011673600005E-3</v>
      </c>
      <c r="X48" s="26"/>
      <c r="Y48" s="26"/>
      <c r="Z48" s="26"/>
      <c r="AA48" s="26"/>
      <c r="AB48" s="26"/>
      <c r="AC48" s="26"/>
      <c r="AD48" s="26"/>
      <c r="AE48" s="26"/>
    </row>
    <row r="49" spans="4:31" x14ac:dyDescent="0.35">
      <c r="X49" s="26"/>
      <c r="Y49" s="26"/>
      <c r="Z49" s="26"/>
      <c r="AA49" s="26"/>
      <c r="AB49" s="26"/>
      <c r="AC49" s="26"/>
      <c r="AD49" s="26"/>
      <c r="AE49" s="26"/>
    </row>
    <row r="50" spans="4:31" x14ac:dyDescent="0.35">
      <c r="E50">
        <v>1</v>
      </c>
      <c r="F50">
        <v>2</v>
      </c>
      <c r="G50">
        <v>3</v>
      </c>
      <c r="K50">
        <v>1</v>
      </c>
      <c r="L50">
        <v>2</v>
      </c>
      <c r="M50">
        <v>3</v>
      </c>
      <c r="X50" s="26"/>
      <c r="Y50" s="26"/>
      <c r="Z50" s="26"/>
      <c r="AA50" s="26"/>
      <c r="AB50" s="26"/>
      <c r="AC50" s="26"/>
      <c r="AD50" s="26"/>
      <c r="AE50" s="26"/>
    </row>
    <row r="51" spans="4:31" x14ac:dyDescent="0.35">
      <c r="D51">
        <v>1</v>
      </c>
      <c r="E51" s="16">
        <f>$F$2</f>
        <v>0.94640000000000002</v>
      </c>
      <c r="F51" s="16">
        <f>$G$2</f>
        <v>2.6100000000000002E-2</v>
      </c>
      <c r="G51" s="16">
        <f>$H$2</f>
        <v>2.75E-2</v>
      </c>
      <c r="K51" s="16">
        <f>D52*E51</f>
        <v>4.6344188313206805E-4</v>
      </c>
      <c r="L51" s="16">
        <f>D52*F51</f>
        <v>1.2780888788828166E-5</v>
      </c>
      <c r="M51" s="16">
        <f>D52*G51</f>
        <v>1.3466453704704006E-5</v>
      </c>
      <c r="X51" s="26"/>
      <c r="Y51" s="26"/>
      <c r="Z51" s="26"/>
      <c r="AA51" s="26"/>
      <c r="AB51" s="26"/>
      <c r="AC51" s="26"/>
      <c r="AD51" s="26"/>
      <c r="AE51" s="26"/>
    </row>
    <row r="52" spans="4:31" x14ac:dyDescent="0.35">
      <c r="D52" s="16">
        <v>4.896892256256002E-4</v>
      </c>
      <c r="Q52" s="16"/>
      <c r="R52" s="16"/>
      <c r="X52" s="26"/>
      <c r="Y52" s="26"/>
      <c r="Z52" s="26"/>
      <c r="AA52" s="26"/>
      <c r="AB52" s="26"/>
      <c r="AC52" s="26"/>
      <c r="AD52" s="26"/>
      <c r="AE52" s="26"/>
    </row>
    <row r="53" spans="4:31" x14ac:dyDescent="0.35">
      <c r="X53" s="26"/>
      <c r="Y53" s="26"/>
      <c r="Z53" s="26"/>
      <c r="AA53" s="26"/>
      <c r="AB53" s="26"/>
      <c r="AC53" s="26"/>
      <c r="AD53" s="26"/>
      <c r="AE53" s="26"/>
    </row>
    <row r="54" spans="4:31" x14ac:dyDescent="0.35">
      <c r="E54">
        <v>1</v>
      </c>
      <c r="F54">
        <v>2</v>
      </c>
      <c r="G54">
        <v>3</v>
      </c>
      <c r="K54">
        <v>1</v>
      </c>
      <c r="L54">
        <v>2</v>
      </c>
      <c r="M54">
        <v>3</v>
      </c>
      <c r="X54" s="26"/>
      <c r="Y54" s="26"/>
      <c r="Z54" s="26"/>
      <c r="AA54" s="26"/>
      <c r="AB54" s="26"/>
      <c r="AC54" s="26"/>
      <c r="AD54" s="26"/>
      <c r="AE54" s="26"/>
    </row>
    <row r="55" spans="4:31" x14ac:dyDescent="0.35">
      <c r="D55">
        <v>2</v>
      </c>
      <c r="E55" s="16">
        <f>$I$2</f>
        <v>0.14080000000000001</v>
      </c>
      <c r="F55" s="16">
        <f>$J$2</f>
        <v>0.32979999999999998</v>
      </c>
      <c r="G55" s="16">
        <f>$K$2</f>
        <v>0.52939999999999998</v>
      </c>
      <c r="K55" s="16">
        <f>D56*E55</f>
        <v>1.9014678164275207E-6</v>
      </c>
      <c r="L55" s="16">
        <f>D56*F55</f>
        <v>4.4538642461491209E-6</v>
      </c>
      <c r="M55" s="16">
        <f>D56*G55</f>
        <v>7.1494109518233619E-6</v>
      </c>
      <c r="X55" s="26"/>
      <c r="Y55" s="26"/>
      <c r="Z55" s="26"/>
      <c r="AA55" s="26"/>
      <c r="AB55" s="26"/>
      <c r="AC55" s="26"/>
      <c r="AD55" s="26"/>
      <c r="AE55" s="26"/>
    </row>
    <row r="56" spans="4:31" x14ac:dyDescent="0.35">
      <c r="D56" s="16">
        <v>1.3504743014400005E-5</v>
      </c>
      <c r="X56" s="26"/>
      <c r="Y56" s="26"/>
      <c r="Z56" s="26"/>
      <c r="AA56" s="26"/>
      <c r="AB56" s="26"/>
      <c r="AC56" s="26"/>
      <c r="AD56" s="26"/>
      <c r="AE56" s="26"/>
    </row>
    <row r="57" spans="4:31" x14ac:dyDescent="0.35">
      <c r="X57" s="26"/>
      <c r="Y57" s="26"/>
      <c r="Z57" s="26"/>
      <c r="AA57" s="26"/>
      <c r="AB57" s="26"/>
      <c r="AC57" s="26"/>
      <c r="AD57" s="26"/>
      <c r="AE57" s="26"/>
    </row>
    <row r="58" spans="4:31" x14ac:dyDescent="0.35">
      <c r="E58">
        <v>1</v>
      </c>
      <c r="F58">
        <v>2</v>
      </c>
      <c r="G58">
        <v>3</v>
      </c>
      <c r="K58">
        <v>1</v>
      </c>
      <c r="L58">
        <v>2</v>
      </c>
      <c r="M58">
        <v>3</v>
      </c>
      <c r="Q58" s="16"/>
      <c r="R58" s="16"/>
      <c r="X58" s="26"/>
      <c r="Y58" s="26"/>
      <c r="Z58" s="26"/>
      <c r="AA58" s="26"/>
      <c r="AB58" s="26"/>
      <c r="AC58" s="26"/>
      <c r="AD58" s="26"/>
      <c r="AE58" s="26"/>
    </row>
    <row r="59" spans="4:31" x14ac:dyDescent="0.35">
      <c r="D59">
        <v>3</v>
      </c>
      <c r="E59" s="16">
        <f>$L$2</f>
        <v>5.9999999999999995E-4</v>
      </c>
      <c r="F59" s="16">
        <f>$M$2</f>
        <v>1.77E-2</v>
      </c>
      <c r="G59" s="16">
        <f>$N$2</f>
        <v>0.98170000000000002</v>
      </c>
      <c r="K59" s="16">
        <f>D60*E59</f>
        <v>8.5374812160000025E-9</v>
      </c>
      <c r="L59" s="16">
        <f>D60*F59</f>
        <v>2.5185569587200012E-7</v>
      </c>
      <c r="M59" s="16">
        <f>D60*G59</f>
        <v>1.3968742182912005E-5</v>
      </c>
      <c r="X59" s="26"/>
      <c r="Y59" s="26"/>
      <c r="Z59" s="26"/>
      <c r="AA59" s="26"/>
      <c r="AB59" s="26"/>
      <c r="AC59" s="26"/>
      <c r="AD59" s="26"/>
      <c r="AE59" s="26"/>
    </row>
    <row r="60" spans="4:31" x14ac:dyDescent="0.35">
      <c r="D60" s="16">
        <v>1.4229135360000005E-5</v>
      </c>
      <c r="X60" s="26"/>
      <c r="Y60" s="26"/>
      <c r="Z60" s="26"/>
      <c r="AA60" s="26"/>
      <c r="AB60" s="26"/>
      <c r="AC60" s="26"/>
      <c r="AD60" s="26"/>
      <c r="AE60" s="26"/>
    </row>
    <row r="61" spans="4:31" x14ac:dyDescent="0.35">
      <c r="X61" s="26"/>
      <c r="Y61" s="26"/>
      <c r="Z61" s="26"/>
      <c r="AA61" s="26"/>
      <c r="AB61" s="26"/>
      <c r="AC61" s="26"/>
      <c r="AD61" s="26"/>
      <c r="AE61" s="26"/>
    </row>
    <row r="62" spans="4:31" x14ac:dyDescent="0.35">
      <c r="E62">
        <v>1</v>
      </c>
      <c r="F62">
        <v>2</v>
      </c>
      <c r="G62">
        <v>3</v>
      </c>
      <c r="K62">
        <v>1</v>
      </c>
      <c r="L62">
        <v>2</v>
      </c>
      <c r="M62">
        <v>3</v>
      </c>
      <c r="P62" s="16"/>
      <c r="Q62" s="16"/>
      <c r="R62" s="16"/>
      <c r="X62" s="26"/>
      <c r="Y62" s="26"/>
      <c r="Z62" s="26"/>
      <c r="AA62" s="26"/>
      <c r="AB62" s="26"/>
      <c r="AC62" s="26"/>
      <c r="AD62" s="26"/>
      <c r="AE62" s="26"/>
    </row>
    <row r="63" spans="4:31" x14ac:dyDescent="0.35">
      <c r="D63">
        <v>1</v>
      </c>
      <c r="E63" s="16">
        <f>$F$2</f>
        <v>0.94640000000000002</v>
      </c>
      <c r="F63" s="16">
        <f>$G$2</f>
        <v>2.6100000000000002E-2</v>
      </c>
      <c r="G63" s="16">
        <f>$H$2</f>
        <v>2.75E-2</v>
      </c>
      <c r="K63" s="16">
        <f>D64*E63</f>
        <v>1.6149950661132291E-4</v>
      </c>
      <c r="L63" s="16">
        <f>D64*F63</f>
        <v>4.4538642461491209E-6</v>
      </c>
      <c r="M63" s="16">
        <f>D64*G63</f>
        <v>4.6927688417280012E-6</v>
      </c>
      <c r="X63" s="26"/>
      <c r="Y63" s="26"/>
      <c r="Z63" s="26"/>
      <c r="AA63" s="26"/>
      <c r="AB63" s="26"/>
      <c r="AC63" s="26"/>
      <c r="AD63" s="26"/>
      <c r="AE63" s="26"/>
    </row>
    <row r="64" spans="4:31" x14ac:dyDescent="0.35">
      <c r="D64" s="16">
        <v>1.7064613969920004E-4</v>
      </c>
      <c r="X64" s="26"/>
      <c r="Y64" s="26"/>
      <c r="Z64" s="26"/>
      <c r="AA64" s="26"/>
      <c r="AB64" s="26"/>
      <c r="AC64" s="26"/>
      <c r="AD64" s="26"/>
      <c r="AE64" s="26"/>
    </row>
    <row r="65" spans="4:31" x14ac:dyDescent="0.35">
      <c r="X65" s="26"/>
      <c r="Y65" s="26"/>
      <c r="Z65" s="26"/>
      <c r="AA65" s="26"/>
      <c r="AB65" s="26"/>
      <c r="AC65" s="26"/>
      <c r="AD65" s="26"/>
      <c r="AE65" s="26"/>
    </row>
    <row r="66" spans="4:31" x14ac:dyDescent="0.35">
      <c r="E66">
        <v>1</v>
      </c>
      <c r="F66">
        <v>2</v>
      </c>
      <c r="G66">
        <v>3</v>
      </c>
      <c r="K66">
        <v>1</v>
      </c>
      <c r="L66">
        <v>2</v>
      </c>
      <c r="M66">
        <v>3</v>
      </c>
      <c r="P66" s="16"/>
      <c r="Q66" s="16"/>
      <c r="R66" s="16"/>
      <c r="X66" s="26"/>
      <c r="Y66" s="26"/>
      <c r="Z66" s="26"/>
      <c r="AA66" s="26"/>
      <c r="AB66" s="26"/>
      <c r="AC66" s="26"/>
      <c r="AD66" s="26"/>
      <c r="AE66" s="26"/>
    </row>
    <row r="67" spans="4:31" x14ac:dyDescent="0.35">
      <c r="D67">
        <v>2</v>
      </c>
      <c r="E67" s="16">
        <f>$I$2</f>
        <v>0.14080000000000001</v>
      </c>
      <c r="F67" s="16">
        <f>$J$2</f>
        <v>0.32979999999999998</v>
      </c>
      <c r="G67" s="16">
        <f>$K$2</f>
        <v>0.52939999999999998</v>
      </c>
      <c r="K67" s="16">
        <f>D68*E67</f>
        <v>5.627909687279617E-5</v>
      </c>
      <c r="L67" s="16">
        <f>D68*F67</f>
        <v>1.3182419139664897E-4</v>
      </c>
      <c r="M67" s="16">
        <f>D68*G67</f>
        <v>2.116062065657549E-4</v>
      </c>
      <c r="X67" s="26"/>
      <c r="Y67" s="26"/>
      <c r="Z67" s="26"/>
      <c r="AA67" s="26"/>
      <c r="AB67" s="26"/>
      <c r="AC67" s="26"/>
      <c r="AD67" s="26"/>
      <c r="AE67" s="26"/>
    </row>
    <row r="68" spans="4:31" x14ac:dyDescent="0.35">
      <c r="D68" s="16">
        <v>3.9970949483520004E-4</v>
      </c>
      <c r="X68" s="26"/>
      <c r="Y68" s="26"/>
      <c r="Z68" s="26"/>
      <c r="AA68" s="26"/>
      <c r="AB68" s="26"/>
      <c r="AC68" s="26"/>
      <c r="AD68" s="26"/>
      <c r="AE68" s="26"/>
    </row>
    <row r="69" spans="4:31" x14ac:dyDescent="0.35">
      <c r="X69" s="26"/>
      <c r="Y69" s="26"/>
      <c r="Z69" s="26"/>
      <c r="AA69" s="26"/>
      <c r="AB69" s="26"/>
      <c r="AC69" s="26"/>
      <c r="AD69" s="26"/>
      <c r="AE69" s="26"/>
    </row>
    <row r="70" spans="4:31" x14ac:dyDescent="0.35">
      <c r="E70">
        <v>1</v>
      </c>
      <c r="F70">
        <v>2</v>
      </c>
      <c r="G70">
        <v>3</v>
      </c>
      <c r="K70">
        <v>1</v>
      </c>
      <c r="L70">
        <v>2</v>
      </c>
      <c r="M70">
        <v>3</v>
      </c>
      <c r="P70" s="16"/>
      <c r="Q70" s="16"/>
      <c r="R70" s="16"/>
      <c r="X70" s="26"/>
      <c r="Y70" s="26"/>
      <c r="Z70" s="26"/>
      <c r="AA70" s="26"/>
      <c r="AB70" s="26"/>
      <c r="AC70" s="26"/>
      <c r="AD70" s="26"/>
      <c r="AE70" s="26"/>
    </row>
    <row r="71" spans="4:31" x14ac:dyDescent="0.35">
      <c r="D71">
        <v>3</v>
      </c>
      <c r="E71" s="16">
        <f>$L$2</f>
        <v>5.9999999999999995E-4</v>
      </c>
      <c r="F71" s="16">
        <f>$M$2</f>
        <v>1.77E-2</v>
      </c>
      <c r="G71" s="16">
        <f>$N$2</f>
        <v>0.98170000000000002</v>
      </c>
      <c r="K71" s="16">
        <f>D72*E71</f>
        <v>3.8497187367935997E-7</v>
      </c>
      <c r="L71" s="16">
        <f>D72*F71</f>
        <v>1.1356670273541122E-5</v>
      </c>
      <c r="M71" s="16">
        <f>D72*G71</f>
        <v>6.2987814731837956E-4</v>
      </c>
      <c r="X71" s="26"/>
      <c r="Y71" s="26"/>
      <c r="Z71" s="26"/>
      <c r="AA71" s="26"/>
      <c r="AB71" s="26"/>
      <c r="AC71" s="26"/>
      <c r="AD71" s="26"/>
      <c r="AE71" s="26"/>
    </row>
    <row r="72" spans="4:31" x14ac:dyDescent="0.35">
      <c r="D72" s="16">
        <v>6.4161978946560005E-4</v>
      </c>
      <c r="X72" s="26"/>
      <c r="Y72" s="26"/>
      <c r="Z72" s="26"/>
      <c r="AA72" s="26"/>
      <c r="AB72" s="26"/>
      <c r="AC72" s="26"/>
      <c r="AD72" s="26"/>
      <c r="AE72" s="26"/>
    </row>
    <row r="73" spans="4:31" x14ac:dyDescent="0.35">
      <c r="X73" s="26"/>
      <c r="Y73" s="26"/>
      <c r="Z73" s="26"/>
      <c r="AA73" s="26"/>
      <c r="AB73" s="26"/>
      <c r="AC73" s="26"/>
      <c r="AD73" s="26"/>
      <c r="AE73" s="26"/>
    </row>
    <row r="74" spans="4:31" x14ac:dyDescent="0.35">
      <c r="E74">
        <v>1</v>
      </c>
      <c r="F74">
        <v>2</v>
      </c>
      <c r="G74">
        <v>3</v>
      </c>
      <c r="K74">
        <v>1</v>
      </c>
      <c r="L74">
        <v>2</v>
      </c>
      <c r="M74">
        <v>3</v>
      </c>
      <c r="P74" s="16"/>
      <c r="Q74" s="16"/>
      <c r="R74" s="16"/>
      <c r="X74" s="26"/>
      <c r="Y74" s="26"/>
      <c r="Z74" s="26"/>
      <c r="AA74" s="26"/>
      <c r="AB74" s="26"/>
      <c r="AC74" s="26"/>
      <c r="AD74" s="26"/>
      <c r="AE74" s="26"/>
    </row>
    <row r="75" spans="4:31" x14ac:dyDescent="0.35">
      <c r="D75">
        <v>1</v>
      </c>
      <c r="E75" s="16">
        <f>$F$2</f>
        <v>0.94640000000000002</v>
      </c>
      <c r="F75" s="16">
        <f>$G$2</f>
        <v>2.6100000000000002E-2</v>
      </c>
      <c r="G75" s="16">
        <f>$H$2</f>
        <v>2.75E-2</v>
      </c>
      <c r="K75" s="16">
        <f>D76*E75</f>
        <v>1.10472219906048E-6</v>
      </c>
      <c r="L75" s="16">
        <f>D76*F75</f>
        <v>3.0466239851520001E-8</v>
      </c>
      <c r="M75" s="16">
        <f>D76*G75</f>
        <v>3.2100444288000002E-8</v>
      </c>
      <c r="X75" s="26"/>
      <c r="Y75" s="26"/>
      <c r="Z75" s="26"/>
      <c r="AA75" s="26"/>
      <c r="AB75" s="26"/>
      <c r="AC75" s="26"/>
      <c r="AD75" s="26"/>
      <c r="AE75" s="26"/>
    </row>
    <row r="76" spans="4:31" x14ac:dyDescent="0.35">
      <c r="D76" s="16">
        <v>1.1672888832E-6</v>
      </c>
      <c r="X76" s="26"/>
      <c r="Y76" s="26"/>
      <c r="Z76" s="26"/>
      <c r="AA76" s="26"/>
      <c r="AB76" s="26"/>
      <c r="AC76" s="26"/>
      <c r="AD76" s="26"/>
      <c r="AE76" s="26"/>
    </row>
    <row r="77" spans="4:31" x14ac:dyDescent="0.35">
      <c r="X77" s="26"/>
      <c r="Y77" s="26"/>
      <c r="Z77" s="26"/>
      <c r="AA77" s="26"/>
      <c r="AB77" s="26"/>
      <c r="AC77" s="26"/>
      <c r="AD77" s="26"/>
      <c r="AE77" s="26"/>
    </row>
    <row r="78" spans="4:31" x14ac:dyDescent="0.35">
      <c r="E78">
        <v>1</v>
      </c>
      <c r="F78">
        <v>2</v>
      </c>
      <c r="G78">
        <v>3</v>
      </c>
      <c r="K78">
        <v>1</v>
      </c>
      <c r="L78">
        <v>2</v>
      </c>
      <c r="M78">
        <v>3</v>
      </c>
      <c r="P78" s="16"/>
      <c r="Q78" s="16"/>
      <c r="R78" s="16"/>
      <c r="X78" s="26"/>
      <c r="Y78" s="26"/>
      <c r="Z78" s="26"/>
      <c r="AA78" s="26"/>
      <c r="AB78" s="26"/>
      <c r="AC78" s="26"/>
      <c r="AD78" s="26"/>
      <c r="AE78" s="26"/>
    </row>
    <row r="79" spans="4:31" x14ac:dyDescent="0.35">
      <c r="D79">
        <v>2</v>
      </c>
      <c r="E79" s="16">
        <f>$I$2</f>
        <v>0.14080000000000001</v>
      </c>
      <c r="F79" s="16">
        <f>$J$2</f>
        <v>0.32979999999999998</v>
      </c>
      <c r="G79" s="16">
        <f>$K$2</f>
        <v>0.52939999999999998</v>
      </c>
      <c r="K79" s="16">
        <f>D80*E79</f>
        <v>4.848451105259521E-6</v>
      </c>
      <c r="L79" s="16">
        <f>D80*F79</f>
        <v>1.135667027354112E-5</v>
      </c>
      <c r="M79" s="16">
        <f>D80*G79</f>
        <v>1.8229900675599364E-5</v>
      </c>
      <c r="X79" s="26"/>
      <c r="Y79" s="26"/>
      <c r="Z79" s="26"/>
      <c r="AA79" s="26"/>
      <c r="AB79" s="26"/>
      <c r="AC79" s="26"/>
      <c r="AD79" s="26"/>
      <c r="AE79" s="26"/>
    </row>
    <row r="80" spans="4:31" x14ac:dyDescent="0.35">
      <c r="D80" s="16">
        <v>3.4435022054400005E-5</v>
      </c>
      <c r="X80" s="26"/>
      <c r="Y80" s="26"/>
      <c r="Z80" s="26"/>
      <c r="AA80" s="26"/>
      <c r="AB80" s="26"/>
      <c r="AC80" s="26"/>
      <c r="AD80" s="26"/>
      <c r="AE80" s="26"/>
    </row>
    <row r="81" spans="4:31" x14ac:dyDescent="0.35">
      <c r="X81" s="26"/>
      <c r="Y81" s="26"/>
      <c r="Z81" s="26"/>
      <c r="AA81" s="26"/>
      <c r="AB81" s="26"/>
      <c r="AC81" s="26"/>
      <c r="AD81" s="26"/>
      <c r="AE81" s="26"/>
    </row>
    <row r="82" spans="4:31" x14ac:dyDescent="0.35">
      <c r="E82">
        <v>1</v>
      </c>
      <c r="F82">
        <v>2</v>
      </c>
      <c r="G82">
        <v>3</v>
      </c>
      <c r="K82">
        <v>1</v>
      </c>
      <c r="L82">
        <v>2</v>
      </c>
      <c r="M82">
        <v>3</v>
      </c>
      <c r="P82" s="16"/>
      <c r="Q82" s="16"/>
      <c r="R82" s="16"/>
      <c r="X82" s="26"/>
      <c r="Y82" s="26"/>
      <c r="Z82" s="26"/>
      <c r="AA82" s="26"/>
      <c r="AB82" s="26"/>
      <c r="AC82" s="26"/>
      <c r="AD82" s="26"/>
      <c r="AE82" s="26"/>
    </row>
    <row r="83" spans="4:31" x14ac:dyDescent="0.35">
      <c r="D83">
        <v>3</v>
      </c>
      <c r="E83" s="16">
        <f>$L$2</f>
        <v>5.9999999999999995E-4</v>
      </c>
      <c r="F83" s="16">
        <f>$M$2</f>
        <v>1.77E-2</v>
      </c>
      <c r="G83" s="16">
        <f>$N$2</f>
        <v>0.98170000000000002</v>
      </c>
      <c r="K83" s="16">
        <f>D84*E83</f>
        <v>1.1459274966374401E-6</v>
      </c>
      <c r="L83" s="16">
        <f>D84*F83</f>
        <v>3.3804861150804484E-5</v>
      </c>
      <c r="M83" s="16">
        <f>D84*G83</f>
        <v>1.8749283724149586E-3</v>
      </c>
      <c r="X83" s="26"/>
      <c r="Y83" s="26"/>
      <c r="Z83" s="26"/>
      <c r="AA83" s="26"/>
      <c r="AB83" s="26"/>
      <c r="AC83" s="26"/>
      <c r="AD83" s="26"/>
      <c r="AE83" s="26"/>
    </row>
    <row r="84" spans="4:31" x14ac:dyDescent="0.35">
      <c r="D84" s="16">
        <v>1.9098791610624004E-3</v>
      </c>
      <c r="X84" s="26"/>
      <c r="Y84" s="26"/>
      <c r="Z84" s="26"/>
      <c r="AA84" s="26"/>
      <c r="AB84" s="26"/>
      <c r="AC84" s="26"/>
      <c r="AD84" s="26"/>
      <c r="AE84" s="26"/>
    </row>
    <row r="85" spans="4:31" x14ac:dyDescent="0.35">
      <c r="X85" s="26"/>
      <c r="Y85" s="26"/>
      <c r="Z85" s="26"/>
      <c r="AA85" s="26"/>
      <c r="AB85" s="26"/>
      <c r="AC85" s="26"/>
      <c r="AD85" s="26"/>
      <c r="AE85" s="26"/>
    </row>
    <row r="86" spans="4:31" x14ac:dyDescent="0.35">
      <c r="E86">
        <v>1</v>
      </c>
      <c r="F86">
        <v>2</v>
      </c>
      <c r="G86">
        <v>3</v>
      </c>
      <c r="K86">
        <v>1</v>
      </c>
      <c r="L86">
        <v>2</v>
      </c>
      <c r="M86">
        <v>3</v>
      </c>
      <c r="P86" s="16"/>
      <c r="Q86" s="16"/>
      <c r="R86" s="16"/>
      <c r="X86" s="26"/>
      <c r="Y86" s="26"/>
      <c r="Z86" s="26"/>
      <c r="AA86" s="26"/>
      <c r="AB86" s="26"/>
      <c r="AC86" s="26"/>
      <c r="AD86" s="26"/>
      <c r="AE86" s="26"/>
    </row>
    <row r="87" spans="4:31" x14ac:dyDescent="0.35">
      <c r="D87">
        <v>1</v>
      </c>
      <c r="E87" s="16">
        <f>$F$2</f>
        <v>0.94640000000000002</v>
      </c>
      <c r="F87" s="16">
        <f>$G$2</f>
        <v>2.6100000000000002E-2</v>
      </c>
      <c r="G87" s="16">
        <f>$H$2</f>
        <v>2.75E-2</v>
      </c>
      <c r="K87" s="16">
        <f>D88*E87</f>
        <v>2.0808274206719999E-6</v>
      </c>
      <c r="L87" s="16">
        <f>D88*F87</f>
        <v>5.7385456128000006E-8</v>
      </c>
      <c r="M87" s="16">
        <f>D88*G87</f>
        <v>6.0463603199999997E-8</v>
      </c>
      <c r="X87" s="26"/>
      <c r="Y87" s="26"/>
      <c r="Z87" s="26"/>
      <c r="AA87" s="26"/>
      <c r="AB87" s="26"/>
      <c r="AC87" s="26"/>
      <c r="AD87" s="26"/>
      <c r="AE87" s="26"/>
    </row>
    <row r="88" spans="4:31" x14ac:dyDescent="0.35">
      <c r="D88" s="16">
        <v>2.19867648E-6</v>
      </c>
      <c r="X88" s="26"/>
      <c r="Y88" s="26"/>
      <c r="Z88" s="26"/>
      <c r="AA88" s="26"/>
      <c r="AB88" s="26"/>
      <c r="AC88" s="26"/>
      <c r="AD88" s="26"/>
      <c r="AE88" s="26"/>
    </row>
    <row r="89" spans="4:31" x14ac:dyDescent="0.35">
      <c r="X89" s="26"/>
      <c r="Y89" s="26"/>
      <c r="Z89" s="26"/>
      <c r="AA89" s="26"/>
      <c r="AB89" s="26"/>
      <c r="AC89" s="26"/>
      <c r="AD89" s="26"/>
      <c r="AE89" s="26"/>
    </row>
    <row r="90" spans="4:31" x14ac:dyDescent="0.35">
      <c r="E90">
        <v>1</v>
      </c>
      <c r="F90">
        <v>2</v>
      </c>
      <c r="G90">
        <v>3</v>
      </c>
      <c r="K90">
        <v>1</v>
      </c>
      <c r="L90">
        <v>2</v>
      </c>
      <c r="M90">
        <v>3</v>
      </c>
      <c r="P90" s="16"/>
      <c r="Q90" s="16"/>
      <c r="R90" s="16"/>
      <c r="X90" s="26"/>
      <c r="Y90" s="26"/>
      <c r="Z90" s="26"/>
      <c r="AA90" s="26"/>
      <c r="AB90" s="26"/>
      <c r="AC90" s="26"/>
      <c r="AD90" s="26"/>
      <c r="AE90" s="26"/>
    </row>
    <row r="91" spans="4:31" x14ac:dyDescent="0.35">
      <c r="D91">
        <v>2</v>
      </c>
      <c r="E91" s="16">
        <f>$I$2</f>
        <v>0.14080000000000001</v>
      </c>
      <c r="F91" s="16">
        <f>$J$2</f>
        <v>0.32979999999999998</v>
      </c>
      <c r="G91" s="16">
        <f>$K$2</f>
        <v>0.52939999999999998</v>
      </c>
      <c r="K91" s="16">
        <f>D92*E91</f>
        <v>8.5374812160000009E-9</v>
      </c>
      <c r="L91" s="16">
        <f>D92*F91</f>
        <v>1.9997594496000002E-8</v>
      </c>
      <c r="M91" s="16">
        <f>D92*G91</f>
        <v>3.2100444288000002E-8</v>
      </c>
      <c r="X91" s="26"/>
      <c r="Y91" s="26"/>
      <c r="Z91" s="26"/>
      <c r="AA91" s="26"/>
      <c r="AB91" s="26"/>
      <c r="AC91" s="26"/>
      <c r="AD91" s="26"/>
      <c r="AE91" s="26"/>
    </row>
    <row r="92" spans="4:31" x14ac:dyDescent="0.35">
      <c r="D92" s="16">
        <v>6.0635520000000007E-8</v>
      </c>
      <c r="X92" s="26"/>
      <c r="Y92" s="26"/>
      <c r="Z92" s="26"/>
      <c r="AA92" s="26"/>
      <c r="AB92" s="26"/>
      <c r="AC92" s="26"/>
      <c r="AD92" s="26"/>
      <c r="AE92" s="26"/>
    </row>
    <row r="93" spans="4:31" x14ac:dyDescent="0.35">
      <c r="X93" s="26"/>
      <c r="Y93" s="26"/>
      <c r="Z93" s="26"/>
      <c r="AA93" s="26"/>
      <c r="AB93" s="26"/>
      <c r="AC93" s="26"/>
      <c r="AD93" s="26"/>
      <c r="AE93" s="26"/>
    </row>
    <row r="94" spans="4:31" x14ac:dyDescent="0.35">
      <c r="E94">
        <v>1</v>
      </c>
      <c r="F94">
        <v>2</v>
      </c>
      <c r="G94">
        <v>3</v>
      </c>
      <c r="K94">
        <v>1</v>
      </c>
      <c r="L94">
        <v>2</v>
      </c>
      <c r="M94">
        <v>3</v>
      </c>
      <c r="P94" s="16"/>
      <c r="Q94" s="16"/>
      <c r="R94" s="16"/>
      <c r="X94" s="26"/>
      <c r="Y94" s="26"/>
      <c r="Z94" s="26"/>
      <c r="AA94" s="26"/>
      <c r="AB94" s="26"/>
      <c r="AC94" s="26"/>
      <c r="AD94" s="26"/>
      <c r="AE94" s="26"/>
    </row>
    <row r="95" spans="4:31" x14ac:dyDescent="0.35">
      <c r="D95">
        <v>3</v>
      </c>
      <c r="E95" s="16">
        <f>$L$2</f>
        <v>5.9999999999999995E-4</v>
      </c>
      <c r="F95" s="16">
        <f>$M$2</f>
        <v>1.77E-2</v>
      </c>
      <c r="G95" s="16">
        <f>$N$2</f>
        <v>0.98170000000000002</v>
      </c>
      <c r="K95" s="16">
        <f>D96*E95</f>
        <v>3.8332799999999993E-11</v>
      </c>
      <c r="L95" s="16">
        <f>D96*F95</f>
        <v>1.1308175999999999E-9</v>
      </c>
      <c r="M95" s="16">
        <f>D96*G95</f>
        <v>6.2718849599999999E-8</v>
      </c>
      <c r="X95" s="26"/>
      <c r="Y95" s="26"/>
      <c r="Z95" s="26"/>
      <c r="AA95" s="26"/>
      <c r="AB95" s="26"/>
      <c r="AC95" s="26"/>
      <c r="AD95" s="26"/>
      <c r="AE95" s="26"/>
    </row>
    <row r="96" spans="4:31" x14ac:dyDescent="0.35">
      <c r="D96" s="16">
        <v>6.3887999999999996E-8</v>
      </c>
      <c r="X96" s="26"/>
      <c r="Y96" s="26"/>
      <c r="Z96" s="26"/>
      <c r="AA96" s="26"/>
      <c r="AB96" s="26"/>
      <c r="AC96" s="26"/>
      <c r="AD96" s="26"/>
      <c r="AE96" s="26"/>
    </row>
    <row r="97" spans="4:31" x14ac:dyDescent="0.35">
      <c r="X97" s="26"/>
      <c r="Y97" s="26"/>
      <c r="Z97" s="26"/>
      <c r="AA97" s="26"/>
      <c r="AB97" s="26"/>
      <c r="AC97" s="26"/>
      <c r="AD97" s="26"/>
      <c r="AE97" s="26"/>
    </row>
    <row r="98" spans="4:31" x14ac:dyDescent="0.35">
      <c r="E98">
        <v>1</v>
      </c>
      <c r="F98">
        <v>2</v>
      </c>
      <c r="G98">
        <v>3</v>
      </c>
      <c r="K98">
        <v>1</v>
      </c>
      <c r="L98">
        <v>2</v>
      </c>
      <c r="M98">
        <v>3</v>
      </c>
      <c r="P98" s="16"/>
      <c r="Q98" s="16"/>
      <c r="R98" s="16"/>
      <c r="X98" s="26"/>
      <c r="Y98" s="26"/>
      <c r="Z98" s="26"/>
      <c r="AA98" s="26"/>
      <c r="AB98" s="26"/>
      <c r="AC98" s="26"/>
      <c r="AD98" s="26"/>
      <c r="AE98" s="26"/>
    </row>
    <row r="99" spans="4:31" x14ac:dyDescent="0.35">
      <c r="D99">
        <v>1</v>
      </c>
      <c r="E99" s="16">
        <f>$F$2</f>
        <v>0.94640000000000002</v>
      </c>
      <c r="F99" s="16">
        <f>$G$2</f>
        <v>2.6100000000000002E-2</v>
      </c>
      <c r="G99" s="16">
        <f>$H$2</f>
        <v>2.75E-2</v>
      </c>
      <c r="K99" s="16">
        <f>D100*E99</f>
        <v>9.1324226273280025E-6</v>
      </c>
      <c r="L99" s="16">
        <f>D100*F99</f>
        <v>2.5185569587200007E-7</v>
      </c>
      <c r="M99" s="16">
        <f>D100*G99</f>
        <v>2.6536519680000006E-7</v>
      </c>
      <c r="X99" s="26"/>
      <c r="Y99" s="26"/>
      <c r="Z99" s="26"/>
      <c r="AA99" s="26"/>
      <c r="AB99" s="26"/>
      <c r="AC99" s="26"/>
      <c r="AD99" s="26"/>
      <c r="AE99" s="26"/>
    </row>
    <row r="100" spans="4:31" x14ac:dyDescent="0.35">
      <c r="D100" s="16">
        <v>9.6496435200000019E-6</v>
      </c>
      <c r="X100" s="26"/>
      <c r="Y100" s="26"/>
      <c r="Z100" s="26"/>
      <c r="AA100" s="26"/>
      <c r="AB100" s="26"/>
      <c r="AC100" s="26"/>
      <c r="AD100" s="26"/>
      <c r="AE100" s="26"/>
    </row>
    <row r="101" spans="4:31" x14ac:dyDescent="0.35">
      <c r="X101" s="26"/>
      <c r="Y101" s="26"/>
      <c r="Z101" s="26"/>
      <c r="AA101" s="26"/>
      <c r="AB101" s="26"/>
      <c r="AC101" s="26"/>
      <c r="AD101" s="26"/>
      <c r="AE101" s="26"/>
    </row>
    <row r="102" spans="4:31" x14ac:dyDescent="0.35">
      <c r="E102">
        <v>1</v>
      </c>
      <c r="F102">
        <v>2</v>
      </c>
      <c r="G102">
        <v>3</v>
      </c>
      <c r="K102">
        <v>1</v>
      </c>
      <c r="L102">
        <v>2</v>
      </c>
      <c r="M102">
        <v>3</v>
      </c>
      <c r="X102" s="26"/>
      <c r="Y102" s="26"/>
      <c r="Z102" s="26"/>
      <c r="AA102" s="26"/>
      <c r="AB102" s="26"/>
      <c r="AC102" s="26"/>
      <c r="AD102" s="26"/>
      <c r="AE102" s="26"/>
    </row>
    <row r="103" spans="4:31" x14ac:dyDescent="0.35">
      <c r="D103">
        <v>2</v>
      </c>
      <c r="E103" s="16">
        <f>$I$2</f>
        <v>0.14080000000000001</v>
      </c>
      <c r="F103" s="16">
        <f>$J$2</f>
        <v>0.32979999999999998</v>
      </c>
      <c r="G103" s="16">
        <f>$K$2</f>
        <v>0.52939999999999998</v>
      </c>
      <c r="K103" s="16">
        <f>D104*E103</f>
        <v>3.1824524328960002E-6</v>
      </c>
      <c r="L103" s="16">
        <f>D104*F103</f>
        <v>7.4543523605759995E-6</v>
      </c>
      <c r="M103" s="16">
        <f>D104*G103</f>
        <v>1.1965840326528E-5</v>
      </c>
      <c r="P103" s="16"/>
      <c r="Q103" s="16"/>
      <c r="R103" s="16"/>
      <c r="X103" s="26"/>
      <c r="Y103" s="26"/>
      <c r="Z103" s="26"/>
      <c r="AA103" s="26"/>
      <c r="AB103" s="26"/>
      <c r="AC103" s="26"/>
      <c r="AD103" s="26"/>
      <c r="AE103" s="26"/>
    </row>
    <row r="104" spans="4:31" x14ac:dyDescent="0.35">
      <c r="D104" s="16">
        <v>2.260264512E-5</v>
      </c>
      <c r="X104" s="26"/>
      <c r="Y104" s="26"/>
      <c r="Z104" s="26"/>
      <c r="AA104" s="26"/>
      <c r="AB104" s="26"/>
      <c r="AC104" s="26"/>
      <c r="AD104" s="26"/>
      <c r="AE104" s="26"/>
    </row>
    <row r="105" spans="4:31" x14ac:dyDescent="0.35">
      <c r="Q105" s="16"/>
      <c r="R105" s="16"/>
      <c r="X105" s="26"/>
      <c r="Y105" s="26"/>
      <c r="Z105" s="26"/>
      <c r="AA105" s="26"/>
      <c r="AB105" s="26"/>
      <c r="AC105" s="26"/>
      <c r="AD105" s="26"/>
      <c r="AE105" s="26"/>
    </row>
    <row r="106" spans="4:31" x14ac:dyDescent="0.35">
      <c r="E106">
        <v>1</v>
      </c>
      <c r="F106">
        <v>2</v>
      </c>
      <c r="G106">
        <v>3</v>
      </c>
      <c r="K106">
        <v>1</v>
      </c>
      <c r="L106">
        <v>2</v>
      </c>
      <c r="M106">
        <v>3</v>
      </c>
      <c r="X106" s="26"/>
      <c r="Y106" s="26"/>
      <c r="Z106" s="26"/>
      <c r="AA106" s="26"/>
      <c r="AB106" s="26"/>
      <c r="AC106" s="26"/>
      <c r="AD106" s="26"/>
      <c r="AE106" s="26"/>
    </row>
    <row r="107" spans="4:31" x14ac:dyDescent="0.35">
      <c r="D107">
        <v>3</v>
      </c>
      <c r="E107" s="16">
        <f>$L$2</f>
        <v>5.9999999999999995E-4</v>
      </c>
      <c r="F107" s="16">
        <f>$M$2</f>
        <v>1.77E-2</v>
      </c>
      <c r="G107" s="16">
        <f>$N$2</f>
        <v>0.98170000000000002</v>
      </c>
      <c r="K107" s="16">
        <f>D108*E107</f>
        <v>2.1769266815999999E-8</v>
      </c>
      <c r="L107" s="16">
        <f>D108*F107</f>
        <v>6.4219337107199998E-7</v>
      </c>
      <c r="M107" s="16">
        <f>D108*G107</f>
        <v>3.5618148722112001E-5</v>
      </c>
      <c r="P107" s="16"/>
      <c r="Q107" s="16"/>
      <c r="R107" s="16"/>
      <c r="X107" s="26"/>
      <c r="Y107" s="26"/>
      <c r="Z107" s="26"/>
      <c r="AA107" s="26"/>
      <c r="AB107" s="26"/>
      <c r="AC107" s="26"/>
      <c r="AD107" s="26"/>
      <c r="AE107" s="26"/>
    </row>
    <row r="108" spans="4:31" x14ac:dyDescent="0.35">
      <c r="D108" s="16">
        <v>3.628211136E-5</v>
      </c>
      <c r="Q108" s="16"/>
      <c r="R108" s="16"/>
      <c r="X108" s="26"/>
      <c r="Y108" s="26"/>
      <c r="Z108" s="26"/>
      <c r="AA108" s="26"/>
      <c r="AB108" s="26"/>
      <c r="AC108" s="26"/>
      <c r="AD108" s="26"/>
      <c r="AE108" s="26"/>
    </row>
    <row r="109" spans="4:31" x14ac:dyDescent="0.35">
      <c r="X109" s="26"/>
      <c r="Y109" s="26"/>
      <c r="Z109" s="26"/>
      <c r="AA109" s="26"/>
      <c r="AB109" s="26"/>
      <c r="AC109" s="26"/>
      <c r="AD109" s="26"/>
      <c r="AE109" s="26"/>
    </row>
    <row r="110" spans="4:31" x14ac:dyDescent="0.35">
      <c r="E110">
        <v>1</v>
      </c>
      <c r="F110">
        <v>2</v>
      </c>
      <c r="G110">
        <v>3</v>
      </c>
      <c r="K110">
        <v>1</v>
      </c>
      <c r="L110">
        <v>2</v>
      </c>
      <c r="M110">
        <v>3</v>
      </c>
      <c r="X110" s="26"/>
      <c r="Y110" s="26"/>
      <c r="Z110" s="26"/>
      <c r="AA110" s="26"/>
      <c r="AB110" s="26"/>
      <c r="AC110" s="26"/>
      <c r="AD110" s="26"/>
      <c r="AE110" s="26"/>
    </row>
    <row r="111" spans="4:31" x14ac:dyDescent="0.35">
      <c r="D111">
        <v>1</v>
      </c>
      <c r="E111" s="16">
        <f>$F$2</f>
        <v>0.94640000000000002</v>
      </c>
      <c r="F111" s="16">
        <f>$G$2</f>
        <v>2.6100000000000002E-2</v>
      </c>
      <c r="G111" s="16">
        <f>$H$2</f>
        <v>2.75E-2</v>
      </c>
      <c r="K111" s="16">
        <f>D112*E111</f>
        <v>2.1584407004160001E-6</v>
      </c>
      <c r="L111" s="16">
        <f>D112*F111</f>
        <v>5.9525889984000009E-8</v>
      </c>
      <c r="M111" s="16">
        <f>D112*G111</f>
        <v>6.2718849599999999E-8</v>
      </c>
      <c r="P111" s="16"/>
      <c r="Q111" s="16"/>
      <c r="R111" s="16"/>
      <c r="X111" s="26"/>
      <c r="Y111" s="26"/>
      <c r="Z111" s="26"/>
      <c r="AA111" s="26"/>
      <c r="AB111" s="26"/>
      <c r="AC111" s="26"/>
      <c r="AD111" s="26"/>
      <c r="AE111" s="26"/>
    </row>
    <row r="112" spans="4:31" x14ac:dyDescent="0.35">
      <c r="D112" s="16">
        <v>2.2806854400000002E-6</v>
      </c>
      <c r="X112" s="26"/>
      <c r="Y112" s="26"/>
      <c r="Z112" s="26"/>
      <c r="AA112" s="26"/>
      <c r="AB112" s="26"/>
      <c r="AC112" s="26"/>
      <c r="AD112" s="26"/>
      <c r="AE112" s="26"/>
    </row>
    <row r="113" spans="4:31" x14ac:dyDescent="0.35">
      <c r="X113" s="26"/>
      <c r="Y113" s="26"/>
      <c r="Z113" s="26"/>
      <c r="AA113" s="26"/>
      <c r="AB113" s="26"/>
      <c r="AC113" s="26"/>
      <c r="AD113" s="26"/>
      <c r="AE113" s="26"/>
    </row>
    <row r="114" spans="4:31" x14ac:dyDescent="0.35">
      <c r="E114">
        <v>1</v>
      </c>
      <c r="F114">
        <v>2</v>
      </c>
      <c r="G114">
        <v>3</v>
      </c>
      <c r="K114">
        <v>1</v>
      </c>
      <c r="L114">
        <v>2</v>
      </c>
      <c r="M114">
        <v>3</v>
      </c>
      <c r="X114" s="26"/>
      <c r="Y114" s="26"/>
      <c r="Z114" s="26"/>
      <c r="AA114" s="26"/>
      <c r="AB114" s="26"/>
      <c r="AC114" s="26"/>
      <c r="AD114" s="26"/>
      <c r="AE114" s="26"/>
    </row>
    <row r="115" spans="4:31" x14ac:dyDescent="0.35">
      <c r="D115">
        <v>2</v>
      </c>
      <c r="E115" s="16">
        <f>$I$2</f>
        <v>0.14080000000000001</v>
      </c>
      <c r="F115" s="16">
        <f>$J$2</f>
        <v>0.32979999999999998</v>
      </c>
      <c r="G115" s="16">
        <f>$K$2</f>
        <v>0.52939999999999998</v>
      </c>
      <c r="K115" s="16">
        <f>D116*E115</f>
        <v>9.4730550435840018E-6</v>
      </c>
      <c r="L115" s="16">
        <f>D116*F115</f>
        <v>2.2189016714304003E-5</v>
      </c>
      <c r="M115" s="16">
        <f>D116*G115</f>
        <v>3.5618148722112008E-5</v>
      </c>
      <c r="P115" s="16"/>
      <c r="Q115" s="16"/>
      <c r="R115" s="16"/>
      <c r="X115" s="26"/>
      <c r="Y115" s="26"/>
      <c r="Z115" s="26"/>
      <c r="AA115" s="26"/>
      <c r="AB115" s="26"/>
      <c r="AC115" s="26"/>
      <c r="AD115" s="26"/>
      <c r="AE115" s="26"/>
    </row>
    <row r="116" spans="4:31" x14ac:dyDescent="0.35">
      <c r="D116" s="16">
        <v>6.7280220480000013E-5</v>
      </c>
      <c r="Q116" s="16"/>
      <c r="R116" s="16"/>
      <c r="X116" s="26"/>
      <c r="Y116" s="26"/>
      <c r="Z116" s="26"/>
      <c r="AA116" s="26"/>
      <c r="AB116" s="26"/>
      <c r="AC116" s="26"/>
      <c r="AD116" s="26"/>
      <c r="AE116" s="26"/>
    </row>
    <row r="117" spans="4:31" x14ac:dyDescent="0.35">
      <c r="X117" s="26"/>
      <c r="Y117" s="26"/>
      <c r="Z117" s="26"/>
      <c r="AA117" s="26"/>
      <c r="AB117" s="26"/>
      <c r="AC117" s="26"/>
      <c r="AD117" s="26"/>
      <c r="AE117" s="26"/>
    </row>
    <row r="118" spans="4:31" x14ac:dyDescent="0.35">
      <c r="E118">
        <v>1</v>
      </c>
      <c r="F118">
        <v>2</v>
      </c>
      <c r="G118">
        <v>3</v>
      </c>
      <c r="K118">
        <v>1</v>
      </c>
      <c r="L118">
        <v>2</v>
      </c>
      <c r="M118">
        <v>3</v>
      </c>
      <c r="X118" s="26"/>
      <c r="Y118" s="26"/>
      <c r="Z118" s="26"/>
      <c r="AA118" s="26"/>
      <c r="AB118" s="26"/>
      <c r="AC118" s="26"/>
      <c r="AD118" s="26"/>
      <c r="AE118" s="26"/>
    </row>
    <row r="119" spans="4:31" x14ac:dyDescent="0.35">
      <c r="D119">
        <v>3</v>
      </c>
      <c r="E119" s="16">
        <f>$L$2</f>
        <v>5.9999999999999995E-4</v>
      </c>
      <c r="F119" s="16">
        <f>$M$2</f>
        <v>1.77E-2</v>
      </c>
      <c r="G119" s="16">
        <f>$N$2</f>
        <v>0.98170000000000002</v>
      </c>
      <c r="K119" s="16">
        <f>D120*E119</f>
        <v>2.2389488964480002E-6</v>
      </c>
      <c r="L119" s="16">
        <f>D120*F119</f>
        <v>6.6048992445216017E-5</v>
      </c>
      <c r="M119" s="16">
        <f>D120*G119</f>
        <v>3.6632935527383366E-3</v>
      </c>
      <c r="P119" s="16"/>
      <c r="Q119" s="16"/>
      <c r="R119" s="16"/>
      <c r="X119" s="26"/>
      <c r="Y119" s="26"/>
      <c r="Z119" s="26"/>
      <c r="AA119" s="26"/>
      <c r="AB119" s="26"/>
      <c r="AC119" s="26"/>
      <c r="AD119" s="26"/>
      <c r="AE119" s="26"/>
    </row>
    <row r="120" spans="4:31" x14ac:dyDescent="0.35">
      <c r="D120" s="16">
        <v>3.7315814940800007E-3</v>
      </c>
      <c r="X120" s="26"/>
      <c r="Y120" s="26"/>
      <c r="Z120" s="26"/>
      <c r="AA120" s="26"/>
      <c r="AB120" s="26"/>
      <c r="AC120" s="26"/>
      <c r="AD120" s="26"/>
      <c r="AE120" s="26"/>
    </row>
    <row r="121" spans="4:31" x14ac:dyDescent="0.35">
      <c r="X121" s="26"/>
      <c r="Y121" s="26"/>
      <c r="Z121" s="26"/>
      <c r="AA121" s="26"/>
      <c r="AB121" s="26"/>
      <c r="AC121" s="26"/>
      <c r="AD121" s="26"/>
      <c r="AE121" s="26"/>
    </row>
    <row r="122" spans="4:31" x14ac:dyDescent="0.35">
      <c r="E122">
        <v>1</v>
      </c>
      <c r="F122">
        <v>2</v>
      </c>
      <c r="G122">
        <v>3</v>
      </c>
      <c r="K122">
        <v>1</v>
      </c>
      <c r="L122">
        <v>2</v>
      </c>
      <c r="M122">
        <v>3</v>
      </c>
      <c r="X122" s="26"/>
      <c r="Y122" s="26"/>
      <c r="Z122" s="26"/>
      <c r="AA122" s="26"/>
      <c r="AB122" s="26"/>
      <c r="AC122" s="26"/>
      <c r="AD122" s="26"/>
      <c r="AE122" s="26"/>
    </row>
    <row r="123" spans="4:31" x14ac:dyDescent="0.35">
      <c r="D123">
        <v>1</v>
      </c>
      <c r="E123" s="16">
        <f>$F$2</f>
        <v>0.94640000000000002</v>
      </c>
      <c r="F123" s="16">
        <f>$G$2</f>
        <v>2.6100000000000002E-2</v>
      </c>
      <c r="G123" s="16">
        <f>$H$2</f>
        <v>2.75E-2</v>
      </c>
      <c r="K123" s="16">
        <f>D124*E123</f>
        <v>3.936203117519569E-2</v>
      </c>
      <c r="L123" s="16">
        <f>D124*F123</f>
        <v>1.085533615461335E-3</v>
      </c>
      <c r="M123" s="16">
        <f>D124*G123</f>
        <v>1.1437614722293759E-3</v>
      </c>
      <c r="P123" s="16"/>
      <c r="Q123" s="16"/>
      <c r="R123" s="16"/>
      <c r="X123" s="26"/>
      <c r="Y123" s="26"/>
      <c r="Z123" s="26"/>
      <c r="AA123" s="26"/>
      <c r="AB123" s="27"/>
      <c r="AC123" s="27"/>
      <c r="AD123" s="27"/>
      <c r="AE123" s="26"/>
    </row>
    <row r="124" spans="4:31" x14ac:dyDescent="0.35">
      <c r="D124" s="16">
        <v>4.1591326262886398E-2</v>
      </c>
      <c r="X124" s="26"/>
      <c r="Y124" s="26"/>
      <c r="Z124" s="26"/>
      <c r="AA124" s="26"/>
      <c r="AB124" s="26"/>
      <c r="AC124" s="26"/>
      <c r="AD124" s="26"/>
      <c r="AE124" s="26"/>
    </row>
    <row r="125" spans="4:31" x14ac:dyDescent="0.35">
      <c r="X125" s="26"/>
      <c r="Y125" s="26"/>
      <c r="Z125" s="26"/>
      <c r="AA125" s="26"/>
      <c r="AB125" s="26"/>
      <c r="AC125" s="27"/>
      <c r="AD125" s="27"/>
      <c r="AE125" s="26"/>
    </row>
    <row r="126" spans="4:31" x14ac:dyDescent="0.35">
      <c r="E126">
        <v>1</v>
      </c>
      <c r="F126">
        <v>2</v>
      </c>
      <c r="G126">
        <v>3</v>
      </c>
      <c r="K126">
        <v>1</v>
      </c>
      <c r="L126">
        <v>2</v>
      </c>
      <c r="M126">
        <v>3</v>
      </c>
      <c r="X126" s="26"/>
      <c r="Y126" s="26"/>
      <c r="Z126" s="26"/>
      <c r="AA126" s="26"/>
      <c r="AB126" s="26"/>
      <c r="AC126" s="26"/>
      <c r="AD126" s="26"/>
      <c r="AE126" s="26"/>
    </row>
    <row r="127" spans="4:31" x14ac:dyDescent="0.35">
      <c r="D127">
        <v>2</v>
      </c>
      <c r="E127" s="16">
        <f>$I$2</f>
        <v>0.14080000000000001</v>
      </c>
      <c r="F127" s="16">
        <f>$J$2</f>
        <v>0.32979999999999998</v>
      </c>
      <c r="G127" s="16">
        <f>$K$2</f>
        <v>0.52939999999999998</v>
      </c>
      <c r="K127" s="16">
        <f>D128*E127</f>
        <v>1.6149950661132289E-4</v>
      </c>
      <c r="L127" s="16">
        <f>D128*F127</f>
        <v>3.7828506591203328E-4</v>
      </c>
      <c r="M127" s="16">
        <f>D128*G127</f>
        <v>6.0722896875024389E-4</v>
      </c>
      <c r="P127" s="16"/>
      <c r="Q127" s="16"/>
      <c r="R127" s="16"/>
      <c r="X127" s="26"/>
      <c r="Y127" s="26"/>
      <c r="Z127" s="26"/>
      <c r="AA127" s="26"/>
      <c r="AB127" s="27"/>
      <c r="AC127" s="27"/>
      <c r="AD127" s="27"/>
      <c r="AE127" s="26"/>
    </row>
    <row r="128" spans="4:31" x14ac:dyDescent="0.35">
      <c r="D128" s="16">
        <v>1.1470135412736001E-3</v>
      </c>
      <c r="X128" s="26"/>
      <c r="Y128" s="26"/>
      <c r="Z128" s="26"/>
      <c r="AA128" s="26"/>
      <c r="AB128" s="26"/>
      <c r="AC128" s="26"/>
      <c r="AD128" s="26"/>
      <c r="AE128" s="26"/>
    </row>
    <row r="129" spans="4:31" x14ac:dyDescent="0.35">
      <c r="Q129" s="16"/>
      <c r="R129" s="16"/>
      <c r="X129" s="26"/>
      <c r="Y129" s="26"/>
      <c r="Z129" s="26"/>
      <c r="AA129" s="26"/>
      <c r="AB129" s="26"/>
      <c r="AC129" s="26"/>
      <c r="AD129" s="26"/>
      <c r="AE129" s="26"/>
    </row>
    <row r="130" spans="4:31" x14ac:dyDescent="0.35">
      <c r="E130">
        <v>1</v>
      </c>
      <c r="F130">
        <v>2</v>
      </c>
      <c r="G130">
        <v>3</v>
      </c>
      <c r="K130">
        <v>1</v>
      </c>
      <c r="L130">
        <v>2</v>
      </c>
      <c r="M130">
        <v>3</v>
      </c>
      <c r="X130" s="26"/>
      <c r="Y130" s="26"/>
      <c r="Z130" s="26"/>
      <c r="AA130" s="26"/>
      <c r="AB130" s="26"/>
      <c r="AC130" s="26"/>
      <c r="AD130" s="26"/>
      <c r="AE130" s="26"/>
    </row>
    <row r="131" spans="4:31" x14ac:dyDescent="0.35">
      <c r="D131">
        <v>3</v>
      </c>
      <c r="E131" s="16">
        <f>$L$2</f>
        <v>5.9999999999999995E-4</v>
      </c>
      <c r="F131" s="16">
        <f>$M$2</f>
        <v>1.77E-2</v>
      </c>
      <c r="G131" s="16">
        <f>$N$2</f>
        <v>0.98170000000000002</v>
      </c>
      <c r="K131" s="16">
        <f>D132*E131</f>
        <v>7.2512350310399984E-7</v>
      </c>
      <c r="L131" s="16">
        <f>D132*F131</f>
        <v>2.1391143341567998E-5</v>
      </c>
      <c r="M131" s="16">
        <f>D132*G131</f>
        <v>1.1864229049953279E-3</v>
      </c>
      <c r="P131" s="16"/>
      <c r="Q131" s="16"/>
      <c r="R131" s="16"/>
      <c r="X131" s="26"/>
      <c r="Y131" s="26"/>
      <c r="Z131" s="26"/>
      <c r="AA131" s="26"/>
      <c r="AB131" s="27"/>
      <c r="AC131" s="27"/>
      <c r="AD131" s="27"/>
      <c r="AE131" s="26"/>
    </row>
    <row r="132" spans="4:31" x14ac:dyDescent="0.35">
      <c r="D132" s="16">
        <v>1.2085391718399999E-3</v>
      </c>
      <c r="X132" s="26"/>
      <c r="Y132" s="26"/>
      <c r="Z132" s="26"/>
      <c r="AA132" s="26"/>
      <c r="AB132" s="26"/>
      <c r="AC132" s="26"/>
      <c r="AD132" s="26"/>
      <c r="AE132" s="26"/>
    </row>
    <row r="133" spans="4:31" x14ac:dyDescent="0.35">
      <c r="X133" s="26"/>
      <c r="Y133" s="26"/>
      <c r="Z133" s="26"/>
      <c r="AA133" s="26"/>
      <c r="AB133" s="26"/>
      <c r="AC133" s="26"/>
      <c r="AD133" s="26"/>
      <c r="AE133" s="26"/>
    </row>
    <row r="134" spans="4:31" x14ac:dyDescent="0.35">
      <c r="E134">
        <v>1</v>
      </c>
      <c r="F134">
        <v>2</v>
      </c>
      <c r="G134">
        <v>3</v>
      </c>
      <c r="K134">
        <v>1</v>
      </c>
      <c r="L134">
        <v>2</v>
      </c>
      <c r="M134">
        <v>3</v>
      </c>
      <c r="X134" s="26"/>
      <c r="Y134" s="26"/>
      <c r="Z134" s="26"/>
      <c r="AA134" s="26"/>
      <c r="AB134" s="26"/>
      <c r="AC134" s="26"/>
      <c r="AD134" s="26"/>
      <c r="AE134" s="26"/>
    </row>
    <row r="135" spans="4:31" x14ac:dyDescent="0.35">
      <c r="D135">
        <v>1</v>
      </c>
      <c r="E135" s="16">
        <f>$F$2</f>
        <v>0.94640000000000002</v>
      </c>
      <c r="F135" s="16">
        <f>$G$2</f>
        <v>2.6100000000000002E-2</v>
      </c>
      <c r="G135" s="16">
        <f>$H$2</f>
        <v>2.75E-2</v>
      </c>
      <c r="K135" s="16">
        <f>D136*E135</f>
        <v>1.6149950661132291E-4</v>
      </c>
      <c r="L135" s="16">
        <f>D136*F135</f>
        <v>4.4538642461491209E-6</v>
      </c>
      <c r="M135" s="16">
        <f>D136*G135</f>
        <v>4.6927688417280012E-6</v>
      </c>
      <c r="P135" s="16"/>
      <c r="Q135" s="16"/>
      <c r="R135" s="16"/>
      <c r="X135" s="26"/>
      <c r="Y135" s="26"/>
      <c r="Z135" s="26"/>
      <c r="AA135" s="26"/>
      <c r="AB135" s="27"/>
      <c r="AC135" s="27"/>
      <c r="AD135" s="27"/>
      <c r="AE135" s="26"/>
    </row>
    <row r="136" spans="4:31" x14ac:dyDescent="0.35">
      <c r="D136" s="16">
        <v>1.7064613969920004E-4</v>
      </c>
      <c r="X136" s="26"/>
      <c r="Y136" s="26"/>
      <c r="Z136" s="26"/>
      <c r="AA136" s="26"/>
      <c r="AB136" s="26"/>
      <c r="AC136" s="26"/>
      <c r="AD136" s="26"/>
      <c r="AE136" s="26"/>
    </row>
    <row r="137" spans="4:31" x14ac:dyDescent="0.35">
      <c r="X137" s="26"/>
      <c r="Y137" s="26"/>
      <c r="Z137" s="26"/>
      <c r="AA137" s="26"/>
      <c r="AB137" s="26"/>
      <c r="AC137" s="26"/>
      <c r="AD137" s="26"/>
      <c r="AE137" s="26"/>
    </row>
    <row r="138" spans="4:31" x14ac:dyDescent="0.35">
      <c r="E138">
        <v>1</v>
      </c>
      <c r="F138">
        <v>2</v>
      </c>
      <c r="G138">
        <v>3</v>
      </c>
      <c r="K138">
        <v>1</v>
      </c>
      <c r="L138">
        <v>2</v>
      </c>
      <c r="M138">
        <v>3</v>
      </c>
      <c r="X138" s="26"/>
      <c r="Y138" s="26"/>
      <c r="Z138" s="26"/>
      <c r="AA138" s="26"/>
      <c r="AB138" s="26"/>
      <c r="AC138" s="26"/>
      <c r="AD138" s="26"/>
      <c r="AE138" s="26"/>
    </row>
    <row r="139" spans="4:31" x14ac:dyDescent="0.35">
      <c r="D139">
        <v>2</v>
      </c>
      <c r="E139" s="16">
        <f>$I$2</f>
        <v>0.14080000000000001</v>
      </c>
      <c r="F139" s="16">
        <f>$J$2</f>
        <v>0.32979999999999998</v>
      </c>
      <c r="G139" s="16">
        <f>$K$2</f>
        <v>0.52939999999999998</v>
      </c>
      <c r="K139" s="16">
        <f>D140*E139</f>
        <v>5.627909687279617E-5</v>
      </c>
      <c r="L139" s="16">
        <f>D140*F139</f>
        <v>1.3182419139664897E-4</v>
      </c>
      <c r="M139" s="16">
        <f>D140*G139</f>
        <v>2.116062065657549E-4</v>
      </c>
      <c r="P139" s="16"/>
      <c r="Q139" s="16"/>
      <c r="R139" s="16"/>
      <c r="X139" s="26"/>
      <c r="Y139" s="26"/>
      <c r="Z139" s="26"/>
      <c r="AA139" s="26"/>
      <c r="AB139" s="27"/>
      <c r="AC139" s="27"/>
      <c r="AD139" s="27"/>
      <c r="AE139" s="26"/>
    </row>
    <row r="140" spans="4:31" x14ac:dyDescent="0.35">
      <c r="D140" s="16">
        <v>3.9970949483520004E-4</v>
      </c>
      <c r="X140" s="26"/>
      <c r="Y140" s="26"/>
      <c r="Z140" s="26"/>
      <c r="AA140" s="26"/>
      <c r="AB140" s="26"/>
      <c r="AC140" s="26"/>
      <c r="AD140" s="26"/>
      <c r="AE140" s="26"/>
    </row>
    <row r="141" spans="4:31" x14ac:dyDescent="0.35">
      <c r="X141" s="26"/>
      <c r="Y141" s="26"/>
      <c r="Z141" s="26"/>
      <c r="AA141" s="26"/>
      <c r="AB141" s="26"/>
      <c r="AC141" s="26"/>
      <c r="AD141" s="26"/>
      <c r="AE141" s="26"/>
    </row>
    <row r="142" spans="4:31" x14ac:dyDescent="0.35">
      <c r="E142">
        <v>1</v>
      </c>
      <c r="F142">
        <v>2</v>
      </c>
      <c r="G142">
        <v>3</v>
      </c>
      <c r="K142">
        <v>1</v>
      </c>
      <c r="L142">
        <v>2</v>
      </c>
      <c r="M142">
        <v>3</v>
      </c>
      <c r="X142" s="26"/>
      <c r="Y142" s="26"/>
      <c r="Z142" s="26"/>
      <c r="AA142" s="26"/>
      <c r="AB142" s="26"/>
      <c r="AC142" s="26"/>
      <c r="AD142" s="26"/>
      <c r="AE142" s="26"/>
    </row>
    <row r="143" spans="4:31" x14ac:dyDescent="0.35">
      <c r="D143">
        <v>3</v>
      </c>
      <c r="E143" s="16">
        <f>$L$2</f>
        <v>5.9999999999999995E-4</v>
      </c>
      <c r="F143" s="16">
        <f>$M$2</f>
        <v>1.77E-2</v>
      </c>
      <c r="G143" s="16">
        <f>$N$2</f>
        <v>0.98170000000000002</v>
      </c>
      <c r="K143" s="16">
        <f>D144*E143</f>
        <v>3.8497187367935997E-7</v>
      </c>
      <c r="L143" s="16">
        <f>D144*F143</f>
        <v>1.1356670273541122E-5</v>
      </c>
      <c r="M143" s="16">
        <f>D144*G143</f>
        <v>6.2987814731837956E-4</v>
      </c>
      <c r="P143" s="16"/>
      <c r="Q143" s="16"/>
      <c r="R143" s="16"/>
      <c r="X143" s="26"/>
      <c r="Y143" s="26"/>
      <c r="Z143" s="26"/>
      <c r="AA143" s="26"/>
      <c r="AB143" s="27"/>
      <c r="AC143" s="27"/>
      <c r="AD143" s="27"/>
      <c r="AE143" s="26"/>
    </row>
    <row r="144" spans="4:31" x14ac:dyDescent="0.35">
      <c r="D144" s="16">
        <v>6.4161978946560005E-4</v>
      </c>
      <c r="X144" s="26"/>
      <c r="Y144" s="26"/>
      <c r="Z144" s="26"/>
      <c r="AA144" s="26"/>
      <c r="AB144" s="26"/>
      <c r="AC144" s="26"/>
      <c r="AD144" s="26"/>
      <c r="AE144" s="26"/>
    </row>
    <row r="145" spans="4:31" x14ac:dyDescent="0.35">
      <c r="X145" s="26"/>
      <c r="Y145" s="26"/>
      <c r="Z145" s="26"/>
      <c r="AA145" s="26"/>
      <c r="AB145" s="26"/>
      <c r="AC145" s="26"/>
      <c r="AD145" s="26"/>
      <c r="AE145" s="26"/>
    </row>
    <row r="146" spans="4:31" x14ac:dyDescent="0.35">
      <c r="E146">
        <v>1</v>
      </c>
      <c r="F146">
        <v>2</v>
      </c>
      <c r="G146">
        <v>3</v>
      </c>
      <c r="K146">
        <v>1</v>
      </c>
      <c r="L146">
        <v>2</v>
      </c>
      <c r="M146">
        <v>3</v>
      </c>
      <c r="X146" s="26"/>
      <c r="Y146" s="26"/>
      <c r="Z146" s="26"/>
      <c r="AA146" s="26"/>
      <c r="AB146" s="26"/>
      <c r="AC146" s="26"/>
      <c r="AD146" s="26"/>
      <c r="AE146" s="26"/>
    </row>
    <row r="147" spans="4:31" x14ac:dyDescent="0.35">
      <c r="D147">
        <v>1</v>
      </c>
      <c r="E147" s="16">
        <f>$F$2</f>
        <v>0.94640000000000002</v>
      </c>
      <c r="F147" s="16">
        <f>$G$2</f>
        <v>2.6100000000000002E-2</v>
      </c>
      <c r="G147" s="16">
        <f>$H$2</f>
        <v>2.75E-2</v>
      </c>
      <c r="K147" s="16">
        <f>D148*E147</f>
        <v>7.2512350310399995E-7</v>
      </c>
      <c r="L147" s="16">
        <f>D148*F147</f>
        <v>1.9997594495999999E-8</v>
      </c>
      <c r="M147" s="16">
        <f>D148*G147</f>
        <v>2.10702624E-8</v>
      </c>
      <c r="P147" s="16"/>
      <c r="Q147" s="16"/>
      <c r="R147" s="16"/>
      <c r="X147" s="26"/>
      <c r="Y147" s="26"/>
      <c r="Z147" s="26"/>
      <c r="AA147" s="26"/>
      <c r="AB147" s="27"/>
      <c r="AC147" s="27"/>
      <c r="AD147" s="27"/>
      <c r="AE147" s="26"/>
    </row>
    <row r="148" spans="4:31" x14ac:dyDescent="0.35">
      <c r="D148" s="16">
        <v>7.6619135999999996E-7</v>
      </c>
      <c r="X148" s="26"/>
      <c r="Y148" s="26"/>
      <c r="Z148" s="26"/>
      <c r="AA148" s="26"/>
      <c r="AB148" s="26"/>
      <c r="AC148" s="26"/>
      <c r="AD148" s="26"/>
      <c r="AE148" s="26"/>
    </row>
    <row r="149" spans="4:31" x14ac:dyDescent="0.35">
      <c r="X149" s="26"/>
      <c r="Y149" s="26"/>
      <c r="Z149" s="26"/>
      <c r="AA149" s="26"/>
      <c r="AB149" s="26"/>
      <c r="AC149" s="26"/>
      <c r="AD149" s="26"/>
      <c r="AE149" s="26"/>
    </row>
    <row r="150" spans="4:31" x14ac:dyDescent="0.35">
      <c r="E150">
        <v>1</v>
      </c>
      <c r="F150">
        <v>2</v>
      </c>
      <c r="G150">
        <v>3</v>
      </c>
      <c r="K150">
        <v>1</v>
      </c>
      <c r="L150">
        <v>2</v>
      </c>
      <c r="M150">
        <v>3</v>
      </c>
      <c r="X150" s="26"/>
      <c r="Y150" s="26"/>
      <c r="Z150" s="26"/>
      <c r="AA150" s="26"/>
      <c r="AB150" s="26"/>
      <c r="AC150" s="26"/>
      <c r="AD150" s="26"/>
      <c r="AE150" s="26"/>
    </row>
    <row r="151" spans="4:31" x14ac:dyDescent="0.35">
      <c r="D151">
        <v>2</v>
      </c>
      <c r="E151" s="16">
        <f>$I$2</f>
        <v>0.14080000000000001</v>
      </c>
      <c r="F151" s="16">
        <f>$J$2</f>
        <v>0.32979999999999998</v>
      </c>
      <c r="G151" s="16">
        <f>$K$2</f>
        <v>0.52939999999999998</v>
      </c>
      <c r="K151" s="16">
        <f>D152*E151</f>
        <v>3.1824524328960002E-6</v>
      </c>
      <c r="L151" s="16">
        <f>D152*F151</f>
        <v>7.4543523605759995E-6</v>
      </c>
      <c r="M151" s="16">
        <f>D152*G151</f>
        <v>1.1965840326528E-5</v>
      </c>
      <c r="P151" s="16"/>
      <c r="Q151" s="16"/>
      <c r="R151" s="16"/>
      <c r="X151" s="26"/>
      <c r="Y151" s="26"/>
      <c r="Z151" s="26"/>
      <c r="AA151" s="26"/>
      <c r="AB151" s="27"/>
      <c r="AC151" s="27"/>
      <c r="AD151" s="27"/>
      <c r="AE151" s="26"/>
    </row>
    <row r="152" spans="4:31" x14ac:dyDescent="0.35">
      <c r="D152" s="16">
        <v>2.260264512E-5</v>
      </c>
      <c r="X152" s="26"/>
      <c r="Y152" s="26"/>
      <c r="Z152" s="26"/>
      <c r="AA152" s="26"/>
      <c r="AB152" s="26"/>
      <c r="AC152" s="26"/>
      <c r="AD152" s="26"/>
      <c r="AE152" s="26"/>
    </row>
    <row r="153" spans="4:31" x14ac:dyDescent="0.35">
      <c r="X153" s="26"/>
      <c r="Y153" s="26"/>
      <c r="Z153" s="26"/>
      <c r="AA153" s="26"/>
      <c r="AB153" s="26"/>
      <c r="AC153" s="26"/>
      <c r="AD153" s="26"/>
      <c r="AE153" s="26"/>
    </row>
    <row r="154" spans="4:31" x14ac:dyDescent="0.35">
      <c r="E154">
        <v>1</v>
      </c>
      <c r="F154">
        <v>2</v>
      </c>
      <c r="G154">
        <v>3</v>
      </c>
      <c r="K154">
        <v>1</v>
      </c>
      <c r="L154">
        <v>2</v>
      </c>
      <c r="M154">
        <v>3</v>
      </c>
      <c r="X154" s="26"/>
      <c r="Y154" s="26"/>
      <c r="Z154" s="26"/>
      <c r="AA154" s="26"/>
      <c r="AB154" s="26"/>
      <c r="AC154" s="26"/>
      <c r="AD154" s="26"/>
      <c r="AE154" s="26"/>
    </row>
    <row r="155" spans="4:31" x14ac:dyDescent="0.35">
      <c r="D155">
        <v>3</v>
      </c>
      <c r="E155" s="16">
        <f>$L$2</f>
        <v>5.9999999999999995E-4</v>
      </c>
      <c r="F155" s="16">
        <f>$M$2</f>
        <v>1.77E-2</v>
      </c>
      <c r="G155" s="16">
        <f>$N$2</f>
        <v>0.98170000000000002</v>
      </c>
      <c r="K155" s="16">
        <f>D156*E155</f>
        <v>7.5217005811199987E-7</v>
      </c>
      <c r="L155" s="16">
        <f>D156*F155</f>
        <v>2.2189016714304E-5</v>
      </c>
      <c r="M155" s="16">
        <f>D156*G155</f>
        <v>1.230675576747584E-3</v>
      </c>
      <c r="P155" s="16"/>
      <c r="Q155" s="16"/>
      <c r="R155" s="16"/>
      <c r="X155" s="26"/>
      <c r="Y155" s="26"/>
      <c r="Z155" s="26"/>
      <c r="AA155" s="26"/>
      <c r="AB155" s="27"/>
      <c r="AC155" s="27"/>
      <c r="AD155" s="27"/>
      <c r="AE155" s="26"/>
    </row>
    <row r="156" spans="4:31" x14ac:dyDescent="0.35">
      <c r="D156" s="16">
        <v>1.25361676352E-3</v>
      </c>
      <c r="X156" s="26"/>
      <c r="Y156" s="26"/>
      <c r="Z156" s="26"/>
      <c r="AA156" s="26"/>
      <c r="AB156" s="26"/>
      <c r="AC156" s="26"/>
      <c r="AD156" s="26"/>
      <c r="AE156" s="26"/>
    </row>
    <row r="157" spans="4:31" x14ac:dyDescent="0.35">
      <c r="X157" s="26"/>
      <c r="Y157" s="26"/>
      <c r="Z157" s="26"/>
      <c r="AA157" s="26"/>
      <c r="AB157" s="26"/>
      <c r="AC157" s="26"/>
      <c r="AD157" s="26"/>
      <c r="AE157" s="26"/>
    </row>
    <row r="158" spans="4:31" x14ac:dyDescent="0.35">
      <c r="E158">
        <v>1</v>
      </c>
      <c r="F158">
        <v>2</v>
      </c>
      <c r="G158">
        <v>3</v>
      </c>
      <c r="K158">
        <v>1</v>
      </c>
      <c r="L158">
        <v>2</v>
      </c>
      <c r="M158">
        <v>3</v>
      </c>
      <c r="X158" s="26"/>
      <c r="Y158" s="26"/>
      <c r="Z158" s="26"/>
      <c r="AA158" s="26"/>
      <c r="AB158" s="26"/>
      <c r="AC158" s="26"/>
      <c r="AD158" s="26"/>
      <c r="AE158" s="26"/>
    </row>
    <row r="159" spans="4:31" x14ac:dyDescent="0.35">
      <c r="D159">
        <v>1</v>
      </c>
      <c r="E159" s="16">
        <f>$F$2</f>
        <v>0.94640000000000002</v>
      </c>
      <c r="F159" s="16">
        <f>$G$2</f>
        <v>2.6100000000000002E-2</v>
      </c>
      <c r="G159" s="16">
        <f>$H$2</f>
        <v>2.75E-2</v>
      </c>
      <c r="K159" s="16">
        <f>D160*E159</f>
        <v>1.3716819401499934E-2</v>
      </c>
      <c r="L159" s="16">
        <f>D160*F159</f>
        <v>3.7828506591203328E-4</v>
      </c>
      <c r="M159" s="16">
        <f>D160*G159</f>
        <v>3.9857621887283195E-4</v>
      </c>
      <c r="P159" s="16"/>
      <c r="Q159" s="16"/>
      <c r="R159" s="16"/>
      <c r="X159" s="26"/>
      <c r="Y159" s="26"/>
      <c r="Z159" s="26"/>
      <c r="AA159" s="26"/>
      <c r="AB159" s="27"/>
      <c r="AC159" s="27"/>
      <c r="AD159" s="27"/>
      <c r="AE159" s="26"/>
    </row>
    <row r="160" spans="4:31" x14ac:dyDescent="0.35">
      <c r="D160" s="16">
        <v>1.4493680686284798E-2</v>
      </c>
      <c r="X160" s="26"/>
      <c r="Y160" s="26"/>
      <c r="Z160" s="26"/>
      <c r="AA160" s="26"/>
      <c r="AB160" s="26"/>
      <c r="AC160" s="26"/>
      <c r="AD160" s="26"/>
      <c r="AE160" s="26"/>
    </row>
    <row r="161" spans="4:31" x14ac:dyDescent="0.35">
      <c r="X161" s="26"/>
      <c r="Y161" s="26"/>
      <c r="Z161" s="26"/>
      <c r="AA161" s="26"/>
      <c r="AB161" s="26"/>
      <c r="AC161" s="26"/>
      <c r="AD161" s="26"/>
      <c r="AE161" s="26"/>
    </row>
    <row r="162" spans="4:31" x14ac:dyDescent="0.35">
      <c r="E162">
        <v>1</v>
      </c>
      <c r="F162">
        <v>2</v>
      </c>
      <c r="G162">
        <v>3</v>
      </c>
      <c r="K162">
        <v>1</v>
      </c>
      <c r="L162">
        <v>2</v>
      </c>
      <c r="M162">
        <v>3</v>
      </c>
      <c r="X162" s="26"/>
      <c r="Y162" s="26"/>
      <c r="Z162" s="26"/>
      <c r="AA162" s="26"/>
      <c r="AB162" s="26"/>
      <c r="AC162" s="26"/>
      <c r="AD162" s="26"/>
      <c r="AE162" s="26"/>
    </row>
    <row r="163" spans="4:31" x14ac:dyDescent="0.35">
      <c r="D163">
        <v>2</v>
      </c>
      <c r="E163" s="16">
        <f>$I$2</f>
        <v>0.14080000000000001</v>
      </c>
      <c r="F163" s="16">
        <f>$J$2</f>
        <v>0.32979999999999998</v>
      </c>
      <c r="G163" s="16">
        <f>$K$2</f>
        <v>0.52939999999999998</v>
      </c>
      <c r="K163" s="16">
        <f>D164*E163</f>
        <v>5.6279096872796163E-5</v>
      </c>
      <c r="L163" s="16">
        <f>D164*F163</f>
        <v>1.3182419139664894E-4</v>
      </c>
      <c r="M163" s="16">
        <f>D164*G163</f>
        <v>2.1160620656575488E-4</v>
      </c>
      <c r="P163" s="16"/>
      <c r="Q163" s="16"/>
      <c r="R163" s="16"/>
      <c r="X163" s="26"/>
      <c r="Y163" s="26"/>
      <c r="Z163" s="26"/>
      <c r="AA163" s="26"/>
      <c r="AB163" s="27"/>
      <c r="AC163" s="27"/>
      <c r="AD163" s="27"/>
      <c r="AE163" s="26"/>
    </row>
    <row r="164" spans="4:31" x14ac:dyDescent="0.35">
      <c r="D164" s="16">
        <v>3.9970949483519999E-4</v>
      </c>
      <c r="X164" s="26"/>
      <c r="Y164" s="26"/>
      <c r="Z164" s="26"/>
      <c r="AA164" s="26"/>
      <c r="AB164" s="26"/>
      <c r="AC164" s="26"/>
      <c r="AD164" s="26"/>
      <c r="AE164" s="26"/>
    </row>
    <row r="165" spans="4:31" x14ac:dyDescent="0.35">
      <c r="X165" s="26"/>
      <c r="Y165" s="26"/>
      <c r="Z165" s="26"/>
      <c r="AA165" s="26"/>
      <c r="AB165" s="26"/>
      <c r="AC165" s="26"/>
      <c r="AD165" s="26"/>
      <c r="AE165" s="26"/>
    </row>
    <row r="166" spans="4:31" x14ac:dyDescent="0.35">
      <c r="E166">
        <v>1</v>
      </c>
      <c r="F166">
        <v>2</v>
      </c>
      <c r="G166">
        <v>3</v>
      </c>
      <c r="K166">
        <v>1</v>
      </c>
      <c r="L166">
        <v>2</v>
      </c>
      <c r="M166">
        <v>3</v>
      </c>
      <c r="X166" s="26"/>
      <c r="Y166" s="26"/>
      <c r="Z166" s="26"/>
      <c r="AA166" s="26"/>
      <c r="AB166" s="26"/>
      <c r="AC166" s="26"/>
      <c r="AD166" s="26"/>
      <c r="AE166" s="26"/>
    </row>
    <row r="167" spans="4:31" x14ac:dyDescent="0.35">
      <c r="D167">
        <v>3</v>
      </c>
      <c r="E167" s="16">
        <f>$L$2</f>
        <v>5.9999999999999995E-4</v>
      </c>
      <c r="F167" s="16">
        <f>$M$2</f>
        <v>1.77E-2</v>
      </c>
      <c r="G167" s="16">
        <f>$N$2</f>
        <v>0.98170000000000002</v>
      </c>
      <c r="K167" s="16">
        <f>D168*E167</f>
        <v>2.5268991052799996E-7</v>
      </c>
      <c r="L167" s="16">
        <f>D168*F167</f>
        <v>7.4543523605759986E-6</v>
      </c>
      <c r="M167" s="16">
        <f>D168*G167</f>
        <v>4.1344280860889591E-4</v>
      </c>
      <c r="P167" s="16"/>
      <c r="Q167" s="16"/>
      <c r="R167" s="16"/>
      <c r="X167" s="26"/>
      <c r="Y167" s="26"/>
      <c r="Z167" s="26"/>
      <c r="AA167" s="26"/>
      <c r="AB167" s="27"/>
      <c r="AC167" s="27"/>
      <c r="AD167" s="27"/>
      <c r="AE167" s="26"/>
    </row>
    <row r="168" spans="4:31" x14ac:dyDescent="0.35">
      <c r="D168" s="16">
        <v>4.2114985087999992E-4</v>
      </c>
      <c r="X168" s="26"/>
      <c r="Y168" s="26"/>
      <c r="Z168" s="26"/>
      <c r="AA168" s="26"/>
      <c r="AB168" s="26"/>
      <c r="AC168" s="26"/>
      <c r="AD168" s="26"/>
      <c r="AE168" s="26"/>
    </row>
    <row r="169" spans="4:31" x14ac:dyDescent="0.35">
      <c r="X169" s="26"/>
      <c r="Y169" s="26"/>
      <c r="Z169" s="26"/>
      <c r="AA169" s="26"/>
      <c r="AB169" s="26"/>
      <c r="AC169" s="26"/>
      <c r="AD169" s="26"/>
      <c r="AE169" s="26"/>
    </row>
    <row r="170" spans="4:31" x14ac:dyDescent="0.35">
      <c r="E170">
        <v>1</v>
      </c>
      <c r="F170">
        <v>2</v>
      </c>
      <c r="G170">
        <v>3</v>
      </c>
      <c r="K170">
        <v>1</v>
      </c>
      <c r="L170">
        <v>2</v>
      </c>
      <c r="M170">
        <v>3</v>
      </c>
      <c r="X170" s="26"/>
      <c r="Y170" s="26"/>
      <c r="Z170" s="26"/>
      <c r="AA170" s="26"/>
      <c r="AB170" s="26"/>
      <c r="AC170" s="26"/>
      <c r="AD170" s="26"/>
      <c r="AE170" s="26"/>
    </row>
    <row r="171" spans="4:31" x14ac:dyDescent="0.35">
      <c r="D171">
        <v>1</v>
      </c>
      <c r="E171" s="16">
        <f>$F$2</f>
        <v>0.94640000000000002</v>
      </c>
      <c r="F171" s="16">
        <f>$G$2</f>
        <v>2.6100000000000002E-2</v>
      </c>
      <c r="G171" s="16">
        <f>$H$2</f>
        <v>2.75E-2</v>
      </c>
      <c r="K171" s="16">
        <f>D172*E171</f>
        <v>4.7800158903367265E-3</v>
      </c>
      <c r="L171" s="16">
        <f>D172*F171</f>
        <v>1.3182419139664894E-4</v>
      </c>
      <c r="M171" s="16">
        <f>D172*G171</f>
        <v>1.3889522082022397E-4</v>
      </c>
      <c r="P171" s="16"/>
      <c r="Q171" s="16"/>
      <c r="R171" s="16"/>
      <c r="X171" s="26"/>
      <c r="Y171" s="26"/>
      <c r="Z171" s="26"/>
      <c r="AA171" s="26"/>
      <c r="AB171" s="27"/>
      <c r="AC171" s="27"/>
      <c r="AD171" s="27"/>
      <c r="AE171" s="26"/>
    </row>
    <row r="172" spans="4:31" x14ac:dyDescent="0.35">
      <c r="D172" s="16">
        <v>5.0507353025535991E-3</v>
      </c>
      <c r="X172" s="26"/>
      <c r="Y172" s="26"/>
      <c r="Z172" s="26"/>
      <c r="AA172" s="26"/>
      <c r="AB172" s="26"/>
      <c r="AC172" s="26"/>
      <c r="AD172" s="26"/>
      <c r="AE172" s="26"/>
    </row>
    <row r="173" spans="4:31" x14ac:dyDescent="0.35">
      <c r="X173" s="26"/>
      <c r="Y173" s="26"/>
      <c r="Z173" s="26"/>
      <c r="AA173" s="26"/>
      <c r="AB173" s="26"/>
      <c r="AC173" s="26"/>
      <c r="AD173" s="26"/>
      <c r="AE173" s="26"/>
    </row>
    <row r="174" spans="4:31" x14ac:dyDescent="0.35">
      <c r="E174">
        <v>1</v>
      </c>
      <c r="F174">
        <v>2</v>
      </c>
      <c r="G174">
        <v>3</v>
      </c>
      <c r="K174">
        <v>1</v>
      </c>
      <c r="L174">
        <v>2</v>
      </c>
      <c r="M174">
        <v>3</v>
      </c>
      <c r="X174" s="26"/>
      <c r="Y174" s="26"/>
      <c r="Z174" s="26"/>
      <c r="AA174" s="26"/>
      <c r="AB174" s="26"/>
      <c r="AC174" s="26"/>
      <c r="AD174" s="26"/>
      <c r="AE174" s="26"/>
    </row>
    <row r="175" spans="4:31" x14ac:dyDescent="0.35">
      <c r="D175">
        <v>2</v>
      </c>
      <c r="E175" s="16">
        <f>$I$2</f>
        <v>0.14080000000000001</v>
      </c>
      <c r="F175" s="16">
        <f>$J$2</f>
        <v>0.32979999999999998</v>
      </c>
      <c r="G175" s="16">
        <f>$K$2</f>
        <v>0.52939999999999998</v>
      </c>
      <c r="K175" s="16">
        <f>D176*E175</f>
        <v>1.6657325027821768E-3</v>
      </c>
      <c r="L175" s="16">
        <f>D176*F175</f>
        <v>3.9016944560906382E-3</v>
      </c>
      <c r="M175" s="16">
        <f>D176*G175</f>
        <v>6.2630595665687802E-3</v>
      </c>
      <c r="P175" s="16"/>
      <c r="Q175" s="16"/>
      <c r="R175" s="16"/>
      <c r="X175" s="26"/>
      <c r="Y175" s="26"/>
      <c r="Z175" s="26"/>
      <c r="AA175" s="26"/>
      <c r="AB175" s="26"/>
      <c r="AC175" s="26"/>
      <c r="AD175" s="26"/>
      <c r="AE175" s="26"/>
    </row>
    <row r="176" spans="4:31" x14ac:dyDescent="0.35">
      <c r="D176" s="16">
        <v>1.1830486525441596E-2</v>
      </c>
      <c r="X176" s="26"/>
      <c r="Y176" s="26"/>
      <c r="Z176" s="26"/>
      <c r="AA176" s="26"/>
      <c r="AB176" s="26"/>
      <c r="AC176" s="26"/>
      <c r="AD176" s="26"/>
      <c r="AE176" s="26"/>
    </row>
    <row r="177" spans="4:31" x14ac:dyDescent="0.35">
      <c r="X177" s="26"/>
      <c r="Y177" s="26"/>
      <c r="Z177" s="26"/>
      <c r="AA177" s="26"/>
      <c r="AB177" s="26"/>
      <c r="AC177" s="26"/>
      <c r="AD177" s="26"/>
      <c r="AE177" s="26"/>
    </row>
    <row r="178" spans="4:31" x14ac:dyDescent="0.35">
      <c r="E178">
        <v>1</v>
      </c>
      <c r="F178">
        <v>2</v>
      </c>
      <c r="G178">
        <v>3</v>
      </c>
      <c r="K178">
        <v>1</v>
      </c>
      <c r="L178">
        <v>2</v>
      </c>
      <c r="M178">
        <v>3</v>
      </c>
      <c r="X178" s="26"/>
      <c r="Y178" s="26"/>
      <c r="Z178" s="26"/>
      <c r="AA178" s="26"/>
      <c r="AB178" s="26"/>
      <c r="AC178" s="26"/>
      <c r="AD178" s="26"/>
      <c r="AE178" s="26"/>
    </row>
    <row r="179" spans="4:31" x14ac:dyDescent="0.35">
      <c r="D179">
        <v>3</v>
      </c>
      <c r="E179" s="16">
        <f>$L$2</f>
        <v>5.9999999999999995E-4</v>
      </c>
      <c r="F179" s="16">
        <f>$M$2</f>
        <v>1.77E-2</v>
      </c>
      <c r="G179" s="16">
        <f>$N$2</f>
        <v>0.98170000000000002</v>
      </c>
      <c r="K179" s="16">
        <f>D180*E179</f>
        <v>1.1394286658402876E-5</v>
      </c>
      <c r="L179" s="16">
        <f>D180*F179</f>
        <v>3.3613145642288488E-4</v>
      </c>
      <c r="M179" s="16">
        <f>D180*G179</f>
        <v>1.8642952020923507E-2</v>
      </c>
      <c r="P179" s="16"/>
      <c r="Q179" s="16"/>
      <c r="R179" s="16"/>
      <c r="X179" s="26"/>
      <c r="Y179" s="26"/>
      <c r="Z179" s="26"/>
      <c r="AA179" s="26"/>
      <c r="AB179" s="26"/>
      <c r="AC179" s="26"/>
      <c r="AD179" s="26"/>
      <c r="AE179" s="26"/>
    </row>
    <row r="180" spans="4:31" x14ac:dyDescent="0.35">
      <c r="D180" s="16">
        <v>1.8990477764004796E-2</v>
      </c>
      <c r="X180" s="26"/>
      <c r="Y180" s="26"/>
      <c r="Z180" s="26"/>
      <c r="AA180" s="26"/>
      <c r="AB180" s="26"/>
      <c r="AC180" s="26"/>
      <c r="AD180" s="26"/>
      <c r="AE180" s="26"/>
    </row>
    <row r="181" spans="4:31" x14ac:dyDescent="0.35">
      <c r="X181" s="26"/>
      <c r="Y181" s="26"/>
      <c r="Z181" s="26"/>
      <c r="AA181" s="26"/>
      <c r="AB181" s="26"/>
      <c r="AC181" s="26"/>
      <c r="AD181" s="26"/>
      <c r="AE181" s="26"/>
    </row>
    <row r="182" spans="4:31" x14ac:dyDescent="0.35">
      <c r="E182">
        <v>1</v>
      </c>
      <c r="F182">
        <v>2</v>
      </c>
      <c r="G182">
        <v>3</v>
      </c>
      <c r="K182">
        <v>1</v>
      </c>
      <c r="L182">
        <v>2</v>
      </c>
      <c r="M182">
        <v>3</v>
      </c>
      <c r="X182" s="26"/>
      <c r="Y182" s="26"/>
      <c r="Z182" s="26"/>
      <c r="AA182" s="26"/>
      <c r="AB182" s="26"/>
      <c r="AC182" s="26"/>
      <c r="AD182" s="26"/>
      <c r="AE182" s="26"/>
    </row>
    <row r="183" spans="4:31" x14ac:dyDescent="0.35">
      <c r="D183">
        <v>1</v>
      </c>
      <c r="E183" s="16">
        <f>$F$2</f>
        <v>0.94640000000000002</v>
      </c>
      <c r="F183" s="16">
        <f>$G$2</f>
        <v>2.6100000000000002E-2</v>
      </c>
      <c r="G183" s="16">
        <f>$H$2</f>
        <v>2.75E-2</v>
      </c>
      <c r="K183" s="16">
        <f>D184*E183</f>
        <v>3.2697249525507829E-5</v>
      </c>
      <c r="L183" s="16">
        <f>D184*F183</f>
        <v>9.0173099388815986E-7</v>
      </c>
      <c r="M183" s="16">
        <f>D184*G183</f>
        <v>9.5009970620399974E-7</v>
      </c>
      <c r="P183" s="16"/>
      <c r="Q183" s="16"/>
      <c r="R183" s="16"/>
      <c r="X183" s="26"/>
      <c r="Y183" s="26"/>
      <c r="Z183" s="26"/>
      <c r="AA183" s="26"/>
      <c r="AB183" s="26"/>
      <c r="AC183" s="26"/>
      <c r="AD183" s="26"/>
      <c r="AE183" s="26"/>
    </row>
    <row r="184" spans="4:31" x14ac:dyDescent="0.35">
      <c r="D184" s="16">
        <v>3.4549080225599991E-5</v>
      </c>
      <c r="X184" s="26"/>
      <c r="Y184" s="26"/>
      <c r="Z184" s="26"/>
      <c r="AA184" s="26"/>
      <c r="AB184" s="26"/>
      <c r="AC184" s="26"/>
      <c r="AD184" s="26"/>
      <c r="AE184" s="26"/>
    </row>
    <row r="185" spans="4:31" x14ac:dyDescent="0.35">
      <c r="X185" s="26"/>
      <c r="Y185" s="26"/>
      <c r="Z185" s="26"/>
      <c r="AA185" s="26"/>
      <c r="AB185" s="26"/>
      <c r="AC185" s="26"/>
      <c r="AD185" s="26"/>
      <c r="AE185" s="26"/>
    </row>
    <row r="186" spans="4:31" x14ac:dyDescent="0.35">
      <c r="E186">
        <v>1</v>
      </c>
      <c r="F186">
        <v>2</v>
      </c>
      <c r="G186">
        <v>3</v>
      </c>
      <c r="K186">
        <v>1</v>
      </c>
      <c r="L186">
        <v>2</v>
      </c>
      <c r="M186">
        <v>3</v>
      </c>
      <c r="X186" s="26"/>
      <c r="Y186" s="26"/>
      <c r="Z186" s="26"/>
      <c r="AA186" s="26"/>
      <c r="AB186" s="26"/>
      <c r="AC186" s="26"/>
      <c r="AD186" s="26"/>
      <c r="AE186" s="26"/>
    </row>
    <row r="187" spans="4:31" x14ac:dyDescent="0.35">
      <c r="D187">
        <v>2</v>
      </c>
      <c r="E187" s="16">
        <f>$I$2</f>
        <v>0.14080000000000001</v>
      </c>
      <c r="F187" s="16">
        <f>$J$2</f>
        <v>0.32979999999999998</v>
      </c>
      <c r="G187" s="16">
        <f>$K$2</f>
        <v>0.52939999999999998</v>
      </c>
      <c r="K187" s="16">
        <f>D188*E187</f>
        <v>1.4350305962505214E-4</v>
      </c>
      <c r="L187" s="16">
        <f>D188*F187</f>
        <v>3.3613145642288488E-4</v>
      </c>
      <c r="M187" s="16">
        <f>D188*G187</f>
        <v>5.3956335060726269E-4</v>
      </c>
      <c r="P187" s="16"/>
      <c r="Q187" s="16"/>
      <c r="R187" s="16"/>
      <c r="X187" s="26"/>
      <c r="Y187" s="26"/>
      <c r="Z187" s="26"/>
      <c r="AA187" s="26"/>
      <c r="AB187" s="26"/>
      <c r="AC187" s="26"/>
      <c r="AD187" s="26"/>
      <c r="AE187" s="26"/>
    </row>
    <row r="188" spans="4:31" x14ac:dyDescent="0.35">
      <c r="D188" s="16">
        <v>1.0191978666551998E-3</v>
      </c>
      <c r="X188" s="26"/>
      <c r="Y188" s="26"/>
      <c r="Z188" s="26"/>
      <c r="AA188" s="26"/>
      <c r="AB188" s="26"/>
      <c r="AC188" s="26"/>
      <c r="AD188" s="26"/>
      <c r="AE188" s="26"/>
    </row>
    <row r="189" spans="4:31" x14ac:dyDescent="0.35">
      <c r="X189" s="26"/>
      <c r="Y189" s="26"/>
      <c r="Z189" s="26"/>
      <c r="AA189" s="26"/>
      <c r="AB189" s="26"/>
      <c r="AC189" s="26"/>
      <c r="AD189" s="26"/>
      <c r="AE189" s="26"/>
    </row>
    <row r="190" spans="4:31" x14ac:dyDescent="0.35">
      <c r="E190">
        <v>1</v>
      </c>
      <c r="F190">
        <v>2</v>
      </c>
      <c r="G190">
        <v>3</v>
      </c>
      <c r="K190">
        <v>1</v>
      </c>
      <c r="L190">
        <v>2</v>
      </c>
      <c r="M190">
        <v>3</v>
      </c>
      <c r="X190" s="26"/>
      <c r="Y190" s="26"/>
      <c r="Z190" s="26"/>
      <c r="AA190" s="26"/>
      <c r="AB190" s="26"/>
      <c r="AC190" s="26"/>
      <c r="AD190" s="26"/>
      <c r="AE190" s="26"/>
    </row>
    <row r="191" spans="4:31" x14ac:dyDescent="0.35">
      <c r="D191">
        <v>3</v>
      </c>
      <c r="E191" s="16">
        <f>$L$2</f>
        <v>5.9999999999999995E-4</v>
      </c>
      <c r="F191" s="16">
        <f>$M$2</f>
        <v>1.77E-2</v>
      </c>
      <c r="G191" s="16">
        <f>$N$2</f>
        <v>0.98170000000000002</v>
      </c>
      <c r="K191" s="16">
        <f>D192*E191</f>
        <v>3.3916832057471512E-5</v>
      </c>
      <c r="L191" s="16">
        <f>D192*F191</f>
        <v>1.0005465456954098E-3</v>
      </c>
      <c r="M191" s="16">
        <f>D192*G191</f>
        <v>5.5493590051366316E-2</v>
      </c>
      <c r="P191" s="16"/>
      <c r="Q191" s="16"/>
      <c r="R191" s="16"/>
      <c r="X191" s="26"/>
      <c r="Y191" s="26"/>
      <c r="Z191" s="26"/>
      <c r="AA191" s="26"/>
      <c r="AB191" s="26"/>
      <c r="AC191" s="26"/>
      <c r="AD191" s="26"/>
      <c r="AE191" s="26"/>
    </row>
    <row r="192" spans="4:31" x14ac:dyDescent="0.35">
      <c r="D192" s="16">
        <v>5.6528053429119193E-2</v>
      </c>
      <c r="X192" s="26"/>
      <c r="Y192" s="26"/>
      <c r="Z192" s="26"/>
      <c r="AA192" s="26"/>
      <c r="AB192" s="26"/>
      <c r="AC192" s="26"/>
      <c r="AD192" s="26"/>
      <c r="AE192" s="26"/>
    </row>
    <row r="193" spans="4:31" x14ac:dyDescent="0.35">
      <c r="X193" s="26"/>
      <c r="Y193" s="26"/>
      <c r="Z193" s="26"/>
      <c r="AA193" s="26"/>
      <c r="AB193" s="26"/>
      <c r="AC193" s="26"/>
      <c r="AD193" s="26"/>
      <c r="AE193" s="26"/>
    </row>
    <row r="194" spans="4:31" x14ac:dyDescent="0.35">
      <c r="E194">
        <v>1</v>
      </c>
      <c r="F194">
        <v>2</v>
      </c>
      <c r="G194">
        <v>3</v>
      </c>
      <c r="K194">
        <v>1</v>
      </c>
      <c r="L194">
        <v>2</v>
      </c>
      <c r="M194">
        <v>3</v>
      </c>
      <c r="X194" s="26"/>
      <c r="Y194" s="26"/>
      <c r="Z194" s="26"/>
      <c r="AA194" s="26"/>
      <c r="AB194" s="26"/>
      <c r="AC194" s="26"/>
      <c r="AD194" s="26"/>
      <c r="AE194" s="26"/>
    </row>
    <row r="195" spans="4:31" x14ac:dyDescent="0.35">
      <c r="D195">
        <v>1</v>
      </c>
      <c r="E195" s="16">
        <f>$F$2</f>
        <v>0.94640000000000002</v>
      </c>
      <c r="F195" s="16">
        <f>$G$2</f>
        <v>2.6100000000000002E-2</v>
      </c>
      <c r="G195" s="16">
        <f>$H$2</f>
        <v>2.75E-2</v>
      </c>
      <c r="K195" s="16">
        <f>D196*E195</f>
        <v>9.3828614162949105E-5</v>
      </c>
      <c r="L195" s="16">
        <f>D196*F195</f>
        <v>2.5876234463788797E-6</v>
      </c>
      <c r="M195" s="16">
        <f>D196*G195</f>
        <v>2.7264231714719995E-6</v>
      </c>
      <c r="P195" s="16"/>
      <c r="Q195" s="16"/>
      <c r="R195" s="16"/>
      <c r="X195" s="26"/>
      <c r="Y195" s="26"/>
      <c r="Z195" s="26"/>
      <c r="AA195" s="26"/>
      <c r="AB195" s="26"/>
      <c r="AC195" s="26"/>
      <c r="AD195" s="26"/>
      <c r="AE195" s="26"/>
    </row>
    <row r="196" spans="4:31" x14ac:dyDescent="0.35">
      <c r="D196" s="16">
        <v>9.9142660780799984E-5</v>
      </c>
      <c r="X196" s="26"/>
      <c r="Y196" s="26"/>
      <c r="Z196" s="26"/>
      <c r="AA196" s="26"/>
      <c r="AB196" s="26"/>
      <c r="AC196" s="26"/>
      <c r="AD196" s="26"/>
      <c r="AE196" s="26"/>
    </row>
    <row r="197" spans="4:31" x14ac:dyDescent="0.35">
      <c r="X197" s="26"/>
      <c r="Y197" s="26"/>
      <c r="Z197" s="26"/>
      <c r="AA197" s="26"/>
      <c r="AB197" s="26"/>
      <c r="AC197" s="26"/>
      <c r="AD197" s="26"/>
      <c r="AE197" s="26"/>
    </row>
    <row r="198" spans="4:31" x14ac:dyDescent="0.35">
      <c r="E198">
        <v>1</v>
      </c>
      <c r="F198">
        <v>2</v>
      </c>
      <c r="G198">
        <v>3</v>
      </c>
      <c r="K198">
        <v>1</v>
      </c>
      <c r="L198">
        <v>2</v>
      </c>
      <c r="M198">
        <v>3</v>
      </c>
      <c r="X198" s="26"/>
      <c r="Y198" s="26"/>
      <c r="Z198" s="26"/>
      <c r="AA198" s="26"/>
      <c r="AB198" s="26"/>
      <c r="AC198" s="26"/>
      <c r="AD198" s="26"/>
      <c r="AE198" s="26"/>
    </row>
    <row r="199" spans="4:31" x14ac:dyDescent="0.35">
      <c r="D199">
        <v>2</v>
      </c>
      <c r="E199" s="16">
        <f>$I$2</f>
        <v>0.14080000000000001</v>
      </c>
      <c r="F199" s="16">
        <f>$J$2</f>
        <v>0.32979999999999998</v>
      </c>
      <c r="G199" s="16">
        <f>$K$2</f>
        <v>0.52939999999999998</v>
      </c>
      <c r="K199" s="16">
        <f>D200*E199</f>
        <v>3.8497187367935997E-7</v>
      </c>
      <c r="L199" s="16">
        <f>D200*F199</f>
        <v>9.0173099388815986E-7</v>
      </c>
      <c r="M199" s="16">
        <f>D200*G199</f>
        <v>1.4474723716324799E-6</v>
      </c>
      <c r="P199" s="16"/>
      <c r="Q199" s="16"/>
      <c r="R199" s="16"/>
      <c r="X199" s="26"/>
      <c r="Y199" s="26"/>
      <c r="Z199" s="26"/>
      <c r="AA199" s="26"/>
      <c r="AB199" s="26"/>
      <c r="AC199" s="26"/>
      <c r="AD199" s="26"/>
      <c r="AE199" s="26"/>
    </row>
    <row r="200" spans="4:31" x14ac:dyDescent="0.35">
      <c r="D200" s="16">
        <v>2.7341752391999998E-6</v>
      </c>
      <c r="X200" s="26"/>
      <c r="Y200" s="26"/>
      <c r="Z200" s="26"/>
      <c r="AA200" s="26"/>
      <c r="AB200" s="26"/>
      <c r="AC200" s="26"/>
      <c r="AD200" s="26"/>
      <c r="AE200" s="26"/>
    </row>
    <row r="201" spans="4:31" x14ac:dyDescent="0.35">
      <c r="X201" s="26"/>
      <c r="Y201" s="26"/>
      <c r="Z201" s="26"/>
      <c r="AA201" s="26"/>
      <c r="AB201" s="26"/>
      <c r="AC201" s="26"/>
      <c r="AD201" s="26"/>
      <c r="AE201" s="26"/>
    </row>
    <row r="202" spans="4:31" x14ac:dyDescent="0.35">
      <c r="E202">
        <v>1</v>
      </c>
      <c r="F202">
        <v>2</v>
      </c>
      <c r="G202">
        <v>3</v>
      </c>
      <c r="K202">
        <v>1</v>
      </c>
      <c r="L202">
        <v>2</v>
      </c>
      <c r="M202">
        <v>3</v>
      </c>
      <c r="X202" s="26"/>
      <c r="Y202" s="26"/>
      <c r="Z202" s="26"/>
      <c r="AA202" s="26"/>
      <c r="AB202" s="26"/>
      <c r="AC202" s="26"/>
      <c r="AD202" s="26"/>
      <c r="AE202" s="26"/>
    </row>
    <row r="203" spans="4:31" x14ac:dyDescent="0.35">
      <c r="D203">
        <v>3</v>
      </c>
      <c r="E203" s="16">
        <f>$L$2</f>
        <v>5.9999999999999995E-4</v>
      </c>
      <c r="F203" s="16">
        <f>$M$2</f>
        <v>1.77E-2</v>
      </c>
      <c r="G203" s="16">
        <f>$N$2</f>
        <v>0.98170000000000002</v>
      </c>
      <c r="K203" s="16">
        <f>D204*E203</f>
        <v>1.7285015879999997E-9</v>
      </c>
      <c r="L203" s="16">
        <f>D204*F203</f>
        <v>5.0990796845999995E-8</v>
      </c>
      <c r="M203" s="16">
        <f>D204*G203</f>
        <v>2.8281166815659996E-6</v>
      </c>
      <c r="P203" s="16"/>
      <c r="Q203" s="16"/>
      <c r="R203" s="16"/>
      <c r="X203" s="26"/>
      <c r="Y203" s="26"/>
      <c r="Z203" s="26"/>
      <c r="AA203" s="26"/>
      <c r="AB203" s="26"/>
      <c r="AC203" s="26"/>
      <c r="AD203" s="26"/>
      <c r="AE203" s="26"/>
    </row>
    <row r="204" spans="4:31" x14ac:dyDescent="0.35">
      <c r="D204" s="16">
        <v>2.8808359799999997E-6</v>
      </c>
      <c r="X204" s="26"/>
      <c r="Y204" s="26"/>
      <c r="Z204" s="26"/>
      <c r="AA204" s="26"/>
      <c r="AB204" s="26"/>
      <c r="AC204" s="26"/>
      <c r="AD204" s="26"/>
      <c r="AE204" s="26"/>
    </row>
    <row r="205" spans="4:31" x14ac:dyDescent="0.35">
      <c r="X205" s="26"/>
      <c r="Y205" s="26"/>
      <c r="Z205" s="26"/>
      <c r="AA205" s="26"/>
      <c r="AB205" s="26"/>
      <c r="AC205" s="26"/>
      <c r="AD205" s="26"/>
      <c r="AE205" s="26"/>
    </row>
    <row r="206" spans="4:31" x14ac:dyDescent="0.35">
      <c r="E206">
        <v>1</v>
      </c>
      <c r="F206">
        <v>2</v>
      </c>
      <c r="G206">
        <v>3</v>
      </c>
      <c r="K206">
        <v>1</v>
      </c>
      <c r="L206">
        <v>2</v>
      </c>
      <c r="M206">
        <v>3</v>
      </c>
      <c r="X206" s="26"/>
      <c r="Y206" s="26"/>
      <c r="Z206" s="26"/>
      <c r="AA206" s="26"/>
      <c r="AB206" s="26"/>
      <c r="AC206" s="26"/>
      <c r="AD206" s="26"/>
      <c r="AE206" s="26"/>
    </row>
    <row r="207" spans="4:31" x14ac:dyDescent="0.35">
      <c r="D207">
        <v>1</v>
      </c>
      <c r="E207" s="16">
        <f>$F$2</f>
        <v>0.94640000000000002</v>
      </c>
      <c r="F207" s="16">
        <f>$G$2</f>
        <v>2.6100000000000002E-2</v>
      </c>
      <c r="G207" s="16">
        <f>$H$2</f>
        <v>2.75E-2</v>
      </c>
      <c r="K207" s="16">
        <f>D208*E207</f>
        <v>4.1179895581913088E-4</v>
      </c>
      <c r="L207" s="16">
        <f>D208*F207</f>
        <v>1.135667027354112E-5</v>
      </c>
      <c r="M207" s="16">
        <f>D208*G207</f>
        <v>1.1965840326528E-5</v>
      </c>
      <c r="P207" s="16"/>
      <c r="Q207" s="16"/>
      <c r="R207" s="16"/>
      <c r="X207" s="26"/>
      <c r="Y207" s="26"/>
      <c r="Z207" s="26"/>
      <c r="AA207" s="26"/>
      <c r="AB207" s="26"/>
      <c r="AC207" s="26"/>
      <c r="AD207" s="26"/>
      <c r="AE207" s="26"/>
    </row>
    <row r="208" spans="4:31" x14ac:dyDescent="0.35">
      <c r="D208" s="16">
        <v>4.3512146641919999E-4</v>
      </c>
      <c r="X208" s="26"/>
      <c r="Y208" s="26"/>
      <c r="Z208" s="26"/>
      <c r="AA208" s="26"/>
      <c r="AB208" s="26"/>
      <c r="AC208" s="26"/>
      <c r="AD208" s="26"/>
      <c r="AE208" s="26"/>
    </row>
    <row r="209" spans="4:31" x14ac:dyDescent="0.35">
      <c r="X209" s="26"/>
      <c r="Y209" s="26"/>
      <c r="Z209" s="26"/>
      <c r="AA209" s="26"/>
      <c r="AB209" s="26"/>
      <c r="AC209" s="26"/>
      <c r="AD209" s="26"/>
      <c r="AE209" s="26"/>
    </row>
    <row r="210" spans="4:31" x14ac:dyDescent="0.35">
      <c r="E210">
        <v>1</v>
      </c>
      <c r="F210">
        <v>2</v>
      </c>
      <c r="G210">
        <v>3</v>
      </c>
      <c r="K210">
        <v>1</v>
      </c>
      <c r="L210">
        <v>2</v>
      </c>
      <c r="M210">
        <v>3</v>
      </c>
      <c r="X210" s="26"/>
      <c r="Y210" s="26"/>
      <c r="Z210" s="26"/>
      <c r="AA210" s="26"/>
      <c r="AB210" s="26"/>
      <c r="AC210" s="26"/>
      <c r="AD210" s="26"/>
      <c r="AE210" s="26"/>
    </row>
    <row r="211" spans="4:31" x14ac:dyDescent="0.35">
      <c r="D211">
        <v>2</v>
      </c>
      <c r="E211" s="16">
        <f>$I$2</f>
        <v>0.14080000000000001</v>
      </c>
      <c r="F211" s="16">
        <f>$J$2</f>
        <v>0.32979999999999998</v>
      </c>
      <c r="G211" s="16">
        <f>$K$2</f>
        <v>0.52939999999999998</v>
      </c>
      <c r="K211" s="16">
        <f>D212*E211</f>
        <v>1.4350305962505217E-4</v>
      </c>
      <c r="L211" s="16">
        <f>D212*F211</f>
        <v>3.3613145642288493E-4</v>
      </c>
      <c r="M211" s="16">
        <f>D212*G211</f>
        <v>5.395633506072628E-4</v>
      </c>
      <c r="X211" s="26"/>
      <c r="Y211" s="26"/>
      <c r="Z211" s="26"/>
      <c r="AA211" s="26"/>
      <c r="AB211" s="26"/>
      <c r="AC211" s="26"/>
      <c r="AD211" s="26"/>
      <c r="AE211" s="26"/>
    </row>
    <row r="212" spans="4:31" x14ac:dyDescent="0.35">
      <c r="D212" s="16">
        <v>1.0191978666552E-3</v>
      </c>
      <c r="X212" s="26"/>
      <c r="Y212" s="26"/>
      <c r="Z212" s="26"/>
      <c r="AA212" s="26"/>
      <c r="AB212" s="26"/>
      <c r="AC212" s="26"/>
      <c r="AD212" s="26"/>
      <c r="AE212" s="26"/>
    </row>
    <row r="213" spans="4:31" x14ac:dyDescent="0.35">
      <c r="X213" s="26"/>
      <c r="Y213" s="26"/>
      <c r="Z213" s="26"/>
      <c r="AA213" s="26"/>
      <c r="AB213" s="26"/>
      <c r="AC213" s="26"/>
      <c r="AD213" s="26"/>
      <c r="AE213" s="26"/>
    </row>
    <row r="214" spans="4:31" x14ac:dyDescent="0.35">
      <c r="E214">
        <v>1</v>
      </c>
      <c r="F214">
        <v>2</v>
      </c>
      <c r="G214">
        <v>3</v>
      </c>
      <c r="K214">
        <v>1</v>
      </c>
      <c r="L214">
        <v>2</v>
      </c>
      <c r="M214">
        <v>3</v>
      </c>
      <c r="X214" s="26"/>
      <c r="Y214" s="26"/>
      <c r="Z214" s="26"/>
      <c r="AA214" s="26"/>
      <c r="AB214" s="26"/>
      <c r="AC214" s="26"/>
      <c r="AD214" s="26"/>
      <c r="AE214" s="26"/>
    </row>
    <row r="215" spans="4:31" x14ac:dyDescent="0.35">
      <c r="D215">
        <v>3</v>
      </c>
      <c r="E215" s="16">
        <f>$L$2</f>
        <v>5.9999999999999995E-4</v>
      </c>
      <c r="F215" s="16">
        <f>$M$2</f>
        <v>1.77E-2</v>
      </c>
      <c r="G215" s="16">
        <f>$N$2</f>
        <v>0.98170000000000002</v>
      </c>
      <c r="K215" s="16">
        <f>D216*E215</f>
        <v>9.8161919455535992E-7</v>
      </c>
      <c r="L215" s="16">
        <f>D216*F215</f>
        <v>2.8957766239383118E-5</v>
      </c>
      <c r="M215" s="16">
        <f>D216*G215</f>
        <v>1.6060926054916613E-3</v>
      </c>
      <c r="X215" s="26"/>
      <c r="Y215" s="26"/>
      <c r="Z215" s="26"/>
      <c r="AA215" s="26"/>
      <c r="AB215" s="26"/>
      <c r="AC215" s="26"/>
      <c r="AD215" s="26"/>
      <c r="AE215" s="26"/>
    </row>
    <row r="216" spans="4:31" x14ac:dyDescent="0.35">
      <c r="D216" s="16">
        <v>1.6360319909255999E-3</v>
      </c>
      <c r="X216" s="26"/>
      <c r="Y216" s="26"/>
      <c r="Z216" s="26"/>
      <c r="AA216" s="26"/>
      <c r="AB216" s="26"/>
      <c r="AC216" s="26"/>
      <c r="AD216" s="26"/>
      <c r="AE216" s="26"/>
    </row>
    <row r="217" spans="4:31" x14ac:dyDescent="0.35">
      <c r="X217" s="26"/>
      <c r="Y217" s="26"/>
      <c r="Z217" s="26"/>
      <c r="AA217" s="26"/>
      <c r="AB217" s="26"/>
      <c r="AC217" s="26"/>
      <c r="AD217" s="26"/>
      <c r="AE217" s="26"/>
    </row>
    <row r="218" spans="4:31" x14ac:dyDescent="0.35">
      <c r="E218">
        <v>1</v>
      </c>
      <c r="F218">
        <v>2</v>
      </c>
      <c r="G218">
        <v>3</v>
      </c>
      <c r="K218">
        <v>1</v>
      </c>
      <c r="L218">
        <v>2</v>
      </c>
      <c r="M218">
        <v>3</v>
      </c>
      <c r="X218" s="26"/>
      <c r="Y218" s="26"/>
      <c r="Z218" s="26"/>
      <c r="AA218" s="26"/>
      <c r="AB218" s="26"/>
      <c r="AC218" s="26"/>
      <c r="AD218" s="26"/>
      <c r="AE218" s="26"/>
    </row>
    <row r="219" spans="4:31" x14ac:dyDescent="0.35">
      <c r="D219">
        <v>1</v>
      </c>
      <c r="E219" s="16">
        <f>$F$2</f>
        <v>0.94640000000000002</v>
      </c>
      <c r="F219" s="16">
        <f>$G$2</f>
        <v>2.6100000000000002E-2</v>
      </c>
      <c r="G219" s="16">
        <f>$H$2</f>
        <v>2.75E-2</v>
      </c>
      <c r="K219" s="16">
        <f>D220*E219</f>
        <v>9.732835008851135E-5</v>
      </c>
      <c r="L219" s="16">
        <f>D220*F219</f>
        <v>2.6841398323226399E-6</v>
      </c>
      <c r="M219" s="16">
        <f>D220*G219</f>
        <v>2.8281166815659996E-6</v>
      </c>
      <c r="X219" s="26"/>
      <c r="Y219" s="26"/>
      <c r="Z219" s="26"/>
      <c r="AA219" s="26"/>
      <c r="AB219" s="26"/>
      <c r="AC219" s="26"/>
      <c r="AD219" s="26"/>
      <c r="AE219" s="26"/>
    </row>
    <row r="220" spans="4:31" x14ac:dyDescent="0.35">
      <c r="D220" s="16">
        <v>1.0284060660239998E-4</v>
      </c>
      <c r="X220" s="26"/>
      <c r="Y220" s="26"/>
      <c r="Z220" s="26"/>
      <c r="AA220" s="26"/>
      <c r="AB220" s="26"/>
      <c r="AC220" s="26"/>
      <c r="AD220" s="26"/>
      <c r="AE220" s="26"/>
    </row>
    <row r="221" spans="4:31" x14ac:dyDescent="0.35">
      <c r="X221" s="26"/>
      <c r="Y221" s="26"/>
      <c r="Z221" s="26"/>
      <c r="AA221" s="26"/>
      <c r="AB221" s="26"/>
      <c r="AC221" s="26"/>
      <c r="AD221" s="26"/>
      <c r="AE221" s="26"/>
    </row>
    <row r="222" spans="4:31" x14ac:dyDescent="0.35">
      <c r="E222">
        <v>1</v>
      </c>
      <c r="F222">
        <v>2</v>
      </c>
      <c r="G222">
        <v>3</v>
      </c>
      <c r="K222">
        <v>1</v>
      </c>
      <c r="L222">
        <v>2</v>
      </c>
      <c r="M222">
        <v>3</v>
      </c>
      <c r="X222" s="26"/>
      <c r="Y222" s="26"/>
      <c r="Z222" s="26"/>
      <c r="AA222" s="26"/>
      <c r="AB222" s="26"/>
      <c r="AC222" s="26"/>
      <c r="AD222" s="26"/>
      <c r="AE222" s="26"/>
    </row>
    <row r="223" spans="4:31" x14ac:dyDescent="0.35">
      <c r="D223">
        <v>2</v>
      </c>
      <c r="E223" s="16">
        <f>$I$2</f>
        <v>0.14080000000000001</v>
      </c>
      <c r="F223" s="16">
        <f>$J$2</f>
        <v>0.32979999999999998</v>
      </c>
      <c r="G223" s="16">
        <f>$K$2</f>
        <v>0.52939999999999998</v>
      </c>
      <c r="K223" s="16">
        <f>D224*E223</f>
        <v>4.2715874358372868E-4</v>
      </c>
      <c r="L223" s="16">
        <f>D224*F223</f>
        <v>1.0005465456954098E-3</v>
      </c>
      <c r="M223" s="16">
        <f>D224*G223</f>
        <v>1.6060926054916615E-3</v>
      </c>
      <c r="X223" s="26"/>
      <c r="Y223" s="26"/>
      <c r="Z223" s="26"/>
      <c r="AA223" s="26"/>
      <c r="AB223" s="26"/>
      <c r="AC223" s="26"/>
      <c r="AD223" s="26"/>
      <c r="AE223" s="26"/>
    </row>
    <row r="224" spans="4:31" x14ac:dyDescent="0.35">
      <c r="D224" s="16">
        <v>3.0337978947708E-3</v>
      </c>
      <c r="X224" s="26"/>
      <c r="Y224" s="26"/>
      <c r="Z224" s="26"/>
      <c r="AA224" s="26"/>
      <c r="AB224" s="26"/>
      <c r="AC224" s="26"/>
      <c r="AD224" s="26"/>
      <c r="AE224" s="26"/>
    </row>
    <row r="225" spans="4:31" x14ac:dyDescent="0.35">
      <c r="X225" s="26"/>
      <c r="Y225" s="26"/>
      <c r="Z225" s="26"/>
      <c r="AA225" s="26"/>
      <c r="AB225" s="26"/>
      <c r="AC225" s="26"/>
      <c r="AD225" s="26"/>
      <c r="AE225" s="26"/>
    </row>
    <row r="226" spans="4:31" x14ac:dyDescent="0.35">
      <c r="E226">
        <v>1</v>
      </c>
      <c r="F226">
        <v>2</v>
      </c>
      <c r="G226">
        <v>3</v>
      </c>
      <c r="K226">
        <v>1</v>
      </c>
      <c r="L226">
        <v>2</v>
      </c>
      <c r="M226">
        <v>3</v>
      </c>
      <c r="X226" s="26"/>
      <c r="Y226" s="26"/>
      <c r="Z226" s="26"/>
      <c r="AA226" s="26"/>
      <c r="AB226" s="26"/>
      <c r="AC226" s="26"/>
      <c r="AD226" s="26"/>
      <c r="AE226" s="26"/>
    </row>
    <row r="227" spans="4:31" x14ac:dyDescent="0.35">
      <c r="D227">
        <v>3</v>
      </c>
      <c r="E227" s="16">
        <f>$L$2</f>
        <v>5.9999999999999995E-4</v>
      </c>
      <c r="F227" s="16">
        <f>$M$2</f>
        <v>1.77E-2</v>
      </c>
      <c r="G227" s="16">
        <f>$N$2</f>
        <v>0.98170000000000002</v>
      </c>
      <c r="K227" s="16">
        <f>D228*E227</f>
        <v>1.0095862350157607E-4</v>
      </c>
      <c r="L227" s="16">
        <f>D228*F227</f>
        <v>2.9782793932964942E-3</v>
      </c>
      <c r="M227" s="16">
        <f>D228*G227</f>
        <v>0.16518513448582872</v>
      </c>
      <c r="X227" s="26"/>
      <c r="Y227" s="26"/>
      <c r="Z227" s="26"/>
      <c r="AA227" s="26"/>
      <c r="AB227" s="26"/>
      <c r="AC227" s="26"/>
      <c r="AD227" s="26"/>
      <c r="AE227" s="26"/>
    </row>
    <row r="228" spans="4:31" x14ac:dyDescent="0.35">
      <c r="D228" s="16">
        <v>0.1682643725026268</v>
      </c>
      <c r="X228" s="26"/>
      <c r="Y228" s="26"/>
      <c r="Z228" s="26"/>
      <c r="AA228" s="26"/>
      <c r="AB228" s="26"/>
      <c r="AC228" s="26"/>
      <c r="AD228" s="26"/>
      <c r="AE228" s="26"/>
    </row>
    <row r="229" spans="4:31" x14ac:dyDescent="0.35">
      <c r="X229" s="26"/>
      <c r="Y229" s="26"/>
      <c r="Z229" s="26"/>
      <c r="AA229" s="26"/>
      <c r="AB229" s="26"/>
      <c r="AC229" s="26"/>
      <c r="AD229" s="26"/>
      <c r="AE229" s="26"/>
    </row>
    <row r="230" spans="4:31" x14ac:dyDescent="0.35">
      <c r="E230">
        <v>1</v>
      </c>
      <c r="F230">
        <v>2</v>
      </c>
      <c r="G230">
        <v>3</v>
      </c>
      <c r="K230">
        <v>1</v>
      </c>
      <c r="L230">
        <v>2</v>
      </c>
      <c r="M230">
        <v>3</v>
      </c>
      <c r="X230" s="26"/>
      <c r="Y230" s="26"/>
      <c r="Z230" s="26"/>
      <c r="AA230" s="26"/>
      <c r="AB230" s="26"/>
      <c r="AC230" s="26"/>
      <c r="AD230" s="26"/>
      <c r="AE230" s="26"/>
    </row>
    <row r="231" spans="4:31" x14ac:dyDescent="0.35">
      <c r="D231">
        <v>1</v>
      </c>
      <c r="E231" s="16">
        <f>$F$2</f>
        <v>0.94640000000000002</v>
      </c>
      <c r="F231" s="16">
        <f>$G$2</f>
        <v>2.6100000000000002E-2</v>
      </c>
      <c r="G231" s="16">
        <f>$H$2</f>
        <v>2.75E-2</v>
      </c>
      <c r="K231" s="16">
        <f>D232*E231</f>
        <v>2.6925227545122817E-4</v>
      </c>
      <c r="L231" s="16">
        <f>D232*F231</f>
        <v>7.4254906902758399E-6</v>
      </c>
      <c r="M231" s="16">
        <f>D232*G231</f>
        <v>7.8237928728959999E-6</v>
      </c>
      <c r="X231" s="26"/>
      <c r="Y231" s="26"/>
      <c r="Z231" s="26"/>
      <c r="AA231" s="26"/>
      <c r="AB231" s="26"/>
      <c r="AC231" s="26"/>
      <c r="AD231" s="26"/>
      <c r="AE231" s="26"/>
    </row>
    <row r="232" spans="4:31" x14ac:dyDescent="0.35">
      <c r="D232" s="16">
        <v>2.8450155901439997E-4</v>
      </c>
      <c r="X232" s="26"/>
      <c r="Y232" s="26"/>
      <c r="Z232" s="26"/>
      <c r="AA232" s="26"/>
      <c r="AB232" s="26"/>
      <c r="AC232" s="26"/>
      <c r="AD232" s="26"/>
      <c r="AE232" s="26"/>
    </row>
    <row r="233" spans="4:31" x14ac:dyDescent="0.35">
      <c r="X233" s="26"/>
      <c r="Y233" s="26"/>
      <c r="Z233" s="26"/>
      <c r="AA233" s="26"/>
      <c r="AB233" s="26"/>
      <c r="AC233" s="26"/>
      <c r="AD233" s="26"/>
      <c r="AE233" s="26"/>
    </row>
    <row r="234" spans="4:31" x14ac:dyDescent="0.35">
      <c r="E234">
        <v>1</v>
      </c>
      <c r="F234">
        <v>2</v>
      </c>
      <c r="G234">
        <v>3</v>
      </c>
      <c r="K234">
        <v>1</v>
      </c>
      <c r="L234">
        <v>2</v>
      </c>
      <c r="M234">
        <v>3</v>
      </c>
      <c r="X234" s="26"/>
      <c r="Y234" s="26"/>
      <c r="Z234" s="26"/>
      <c r="AA234" s="26"/>
      <c r="AB234" s="26"/>
      <c r="AC234" s="26"/>
      <c r="AD234" s="26"/>
      <c r="AE234" s="26"/>
    </row>
    <row r="235" spans="4:31" x14ac:dyDescent="0.35">
      <c r="D235">
        <v>2</v>
      </c>
      <c r="E235" s="16">
        <f>$I$2</f>
        <v>0.14080000000000001</v>
      </c>
      <c r="F235" s="16">
        <f>$J$2</f>
        <v>0.32979999999999998</v>
      </c>
      <c r="G235" s="16">
        <f>$K$2</f>
        <v>0.52939999999999998</v>
      </c>
      <c r="K235" s="16">
        <f>D236*E235</f>
        <v>1.10472219906048E-6</v>
      </c>
      <c r="L235" s="16">
        <f>D236*F235</f>
        <v>2.5876234463788797E-6</v>
      </c>
      <c r="M235" s="16">
        <f>D236*G235</f>
        <v>4.1536927001606397E-6</v>
      </c>
      <c r="X235" s="26"/>
      <c r="Y235" s="26"/>
      <c r="Z235" s="26"/>
      <c r="AA235" s="26"/>
      <c r="AB235" s="26"/>
      <c r="AC235" s="26"/>
      <c r="AD235" s="26"/>
      <c r="AE235" s="26"/>
    </row>
    <row r="236" spans="4:31" x14ac:dyDescent="0.35">
      <c r="D236" s="16">
        <v>7.8460383455999996E-6</v>
      </c>
      <c r="X236" s="26"/>
      <c r="Y236" s="26"/>
      <c r="Z236" s="26"/>
      <c r="AA236" s="26"/>
      <c r="AB236" s="26"/>
      <c r="AC236" s="26"/>
      <c r="AD236" s="26"/>
      <c r="AE236" s="26"/>
    </row>
    <row r="237" spans="4:31" x14ac:dyDescent="0.35">
      <c r="X237" s="26"/>
      <c r="Y237" s="26"/>
      <c r="Z237" s="26"/>
      <c r="AA237" s="26"/>
      <c r="AB237" s="26"/>
      <c r="AC237" s="26"/>
      <c r="AD237" s="26"/>
      <c r="AE237" s="26"/>
    </row>
    <row r="238" spans="4:31" x14ac:dyDescent="0.35">
      <c r="E238">
        <v>1</v>
      </c>
      <c r="F238">
        <v>2</v>
      </c>
      <c r="G238">
        <v>3</v>
      </c>
      <c r="K238">
        <v>1</v>
      </c>
      <c r="L238">
        <v>2</v>
      </c>
      <c r="M238">
        <v>3</v>
      </c>
      <c r="X238" s="26"/>
      <c r="Y238" s="26"/>
      <c r="Z238" s="26"/>
      <c r="AA238" s="26"/>
      <c r="AB238" s="26"/>
      <c r="AC238" s="26"/>
      <c r="AD238" s="26"/>
      <c r="AE238" s="26"/>
    </row>
    <row r="239" spans="4:31" x14ac:dyDescent="0.35">
      <c r="D239">
        <v>3</v>
      </c>
      <c r="E239" s="16">
        <f>$L$2</f>
        <v>5.9999999999999995E-4</v>
      </c>
      <c r="F239" s="16">
        <f>$M$2</f>
        <v>1.77E-2</v>
      </c>
      <c r="G239" s="16">
        <f>$N$2</f>
        <v>0.98170000000000002</v>
      </c>
      <c r="K239" s="16">
        <f>D240*E239</f>
        <v>4.9601391839999992E-9</v>
      </c>
      <c r="L239" s="16">
        <f>D240*F239</f>
        <v>1.4632410592799997E-7</v>
      </c>
      <c r="M239" s="16">
        <f>D240*G239</f>
        <v>8.115614394887999E-6</v>
      </c>
      <c r="X239" s="26"/>
      <c r="Y239" s="26"/>
      <c r="Z239" s="26"/>
      <c r="AA239" s="26"/>
      <c r="AB239" s="26"/>
      <c r="AC239" s="26"/>
      <c r="AD239" s="26"/>
      <c r="AE239" s="26"/>
    </row>
    <row r="240" spans="4:31" x14ac:dyDescent="0.35">
      <c r="D240" s="16">
        <v>8.2668986399999989E-6</v>
      </c>
      <c r="X240" s="26"/>
      <c r="Y240" s="26"/>
      <c r="Z240" s="26"/>
      <c r="AA240" s="26"/>
      <c r="AB240" s="26"/>
      <c r="AC240" s="26"/>
      <c r="AD240" s="26"/>
      <c r="AE240" s="26"/>
    </row>
    <row r="241" spans="4:31" x14ac:dyDescent="0.35">
      <c r="X241" s="26"/>
      <c r="Y241" s="26"/>
      <c r="Z241" s="26"/>
      <c r="AA241" s="26"/>
      <c r="AB241" s="26"/>
      <c r="AC241" s="26"/>
      <c r="AD241" s="26"/>
      <c r="AE241" s="26"/>
    </row>
    <row r="242" spans="4:31" x14ac:dyDescent="0.35">
      <c r="E242">
        <v>1</v>
      </c>
      <c r="F242">
        <v>2</v>
      </c>
      <c r="G242">
        <v>3</v>
      </c>
      <c r="K242">
        <v>1</v>
      </c>
      <c r="L242">
        <v>2</v>
      </c>
      <c r="M242">
        <v>3</v>
      </c>
      <c r="X242" s="26"/>
      <c r="Y242" s="26"/>
      <c r="Z242" s="26"/>
      <c r="AA242" s="26"/>
      <c r="AB242" s="26"/>
      <c r="AC242" s="26"/>
      <c r="AD242" s="26"/>
      <c r="AE242" s="26"/>
    </row>
    <row r="243" spans="4:31" x14ac:dyDescent="0.35">
      <c r="D243">
        <v>1</v>
      </c>
      <c r="E243" s="16">
        <f>$F$2</f>
        <v>0.94640000000000002</v>
      </c>
      <c r="F243" s="16">
        <f>$G$2</f>
        <v>2.6100000000000002E-2</v>
      </c>
      <c r="G243" s="16">
        <f>$H$2</f>
        <v>2.75E-2</v>
      </c>
      <c r="K243" s="16">
        <f>D244*E243</f>
        <v>1.10472219906048E-6</v>
      </c>
      <c r="L243" s="16">
        <f>D244*F243</f>
        <v>3.0466239851520001E-8</v>
      </c>
      <c r="M243" s="16">
        <f>D244*G243</f>
        <v>3.2100444288000002E-8</v>
      </c>
      <c r="X243" s="26"/>
      <c r="Y243" s="26"/>
      <c r="Z243" s="26"/>
      <c r="AA243" s="26"/>
      <c r="AB243" s="26"/>
      <c r="AC243" s="26"/>
      <c r="AD243" s="26"/>
      <c r="AE243" s="26"/>
    </row>
    <row r="244" spans="4:31" x14ac:dyDescent="0.35">
      <c r="D244" s="16">
        <v>1.1672888832E-6</v>
      </c>
      <c r="X244" s="26"/>
      <c r="Y244" s="26"/>
      <c r="Z244" s="26"/>
      <c r="AA244" s="26"/>
      <c r="AB244" s="26"/>
      <c r="AC244" s="26"/>
      <c r="AD244" s="26"/>
      <c r="AE244" s="26"/>
    </row>
    <row r="245" spans="4:31" x14ac:dyDescent="0.35">
      <c r="X245" s="26"/>
      <c r="Y245" s="26"/>
      <c r="Z245" s="26"/>
      <c r="AA245" s="26"/>
      <c r="AB245" s="26"/>
      <c r="AC245" s="26"/>
      <c r="AD245" s="26"/>
      <c r="AE245" s="26"/>
    </row>
    <row r="246" spans="4:31" x14ac:dyDescent="0.35">
      <c r="E246">
        <v>1</v>
      </c>
      <c r="F246">
        <v>2</v>
      </c>
      <c r="G246">
        <v>3</v>
      </c>
      <c r="K246">
        <v>1</v>
      </c>
      <c r="L246">
        <v>2</v>
      </c>
      <c r="M246">
        <v>3</v>
      </c>
      <c r="X246" s="26"/>
      <c r="Y246" s="26"/>
      <c r="Z246" s="26"/>
      <c r="AA246" s="26"/>
      <c r="AB246" s="26"/>
      <c r="AC246" s="26"/>
      <c r="AD246" s="26"/>
      <c r="AE246" s="26"/>
    </row>
    <row r="247" spans="4:31" x14ac:dyDescent="0.35">
      <c r="D247">
        <v>2</v>
      </c>
      <c r="E247" s="16">
        <f>$I$2</f>
        <v>0.14080000000000001</v>
      </c>
      <c r="F247" s="16">
        <f>$J$2</f>
        <v>0.32979999999999998</v>
      </c>
      <c r="G247" s="16">
        <f>$K$2</f>
        <v>0.52939999999999998</v>
      </c>
      <c r="K247" s="16">
        <f>D248*E247</f>
        <v>3.8497187367935992E-7</v>
      </c>
      <c r="L247" s="16">
        <f>D248*F247</f>
        <v>9.0173099388815975E-7</v>
      </c>
      <c r="M247" s="16">
        <f>D248*G247</f>
        <v>1.4474723716324797E-6</v>
      </c>
      <c r="X247" s="26"/>
      <c r="Y247" s="26"/>
      <c r="Z247" s="26"/>
      <c r="AA247" s="26"/>
      <c r="AB247" s="26"/>
      <c r="AC247" s="26"/>
      <c r="AD247" s="26"/>
      <c r="AE247" s="26"/>
    </row>
    <row r="248" spans="4:31" x14ac:dyDescent="0.35">
      <c r="D248" s="16">
        <v>2.7341752391999994E-6</v>
      </c>
      <c r="X248" s="26"/>
      <c r="Y248" s="26"/>
      <c r="Z248" s="26"/>
      <c r="AA248" s="26"/>
      <c r="AB248" s="26"/>
      <c r="AC248" s="26"/>
      <c r="AD248" s="26"/>
      <c r="AE248" s="26"/>
    </row>
    <row r="249" spans="4:31" x14ac:dyDescent="0.35">
      <c r="X249" s="26"/>
      <c r="Y249" s="26"/>
      <c r="Z249" s="26"/>
      <c r="AA249" s="26"/>
      <c r="AB249" s="26"/>
      <c r="AC249" s="26"/>
      <c r="AD249" s="26"/>
      <c r="AE249" s="26"/>
    </row>
    <row r="250" spans="4:31" x14ac:dyDescent="0.35">
      <c r="E250">
        <v>1</v>
      </c>
      <c r="F250">
        <v>2</v>
      </c>
      <c r="G250">
        <v>3</v>
      </c>
      <c r="K250">
        <v>1</v>
      </c>
      <c r="L250">
        <v>2</v>
      </c>
      <c r="M250">
        <v>3</v>
      </c>
      <c r="X250" s="26"/>
      <c r="Y250" s="26"/>
      <c r="Z250" s="26"/>
      <c r="AA250" s="26"/>
      <c r="AB250" s="26"/>
      <c r="AC250" s="26"/>
      <c r="AD250" s="26"/>
      <c r="AE250" s="26"/>
    </row>
    <row r="251" spans="4:31" x14ac:dyDescent="0.35">
      <c r="D251">
        <v>3</v>
      </c>
      <c r="E251" s="16">
        <f>$L$2</f>
        <v>5.9999999999999995E-4</v>
      </c>
      <c r="F251" s="16">
        <f>$M$2</f>
        <v>1.77E-2</v>
      </c>
      <c r="G251" s="16">
        <f>$N$2</f>
        <v>0.98170000000000002</v>
      </c>
      <c r="K251" s="16">
        <f>D252*E251</f>
        <v>2.6333639265599995E-9</v>
      </c>
      <c r="L251" s="16">
        <f>D252*F251</f>
        <v>7.7684235833519994E-8</v>
      </c>
      <c r="M251" s="16">
        <f>D252*G251</f>
        <v>4.3086222778399195E-6</v>
      </c>
      <c r="X251" s="26"/>
      <c r="Y251" s="26"/>
      <c r="Z251" s="26"/>
      <c r="AA251" s="27"/>
      <c r="AB251" s="27"/>
      <c r="AC251" s="27"/>
      <c r="AD251" s="26"/>
      <c r="AE251" s="26"/>
    </row>
    <row r="252" spans="4:31" x14ac:dyDescent="0.35">
      <c r="D252" s="16">
        <v>4.3889398775999993E-6</v>
      </c>
      <c r="X252" s="26"/>
      <c r="Y252" s="26"/>
      <c r="Z252" s="26"/>
      <c r="AA252" s="26"/>
      <c r="AB252" s="26"/>
      <c r="AC252" s="26"/>
      <c r="AD252" s="26"/>
      <c r="AE252" s="26"/>
    </row>
    <row r="253" spans="4:31" x14ac:dyDescent="0.35">
      <c r="X253" s="26"/>
      <c r="Y253" s="26"/>
      <c r="Z253" s="26"/>
      <c r="AA253" s="26"/>
      <c r="AB253" s="26"/>
      <c r="AC253" s="26"/>
      <c r="AD253" s="26"/>
      <c r="AE253" s="26"/>
    </row>
    <row r="254" spans="4:31" x14ac:dyDescent="0.35">
      <c r="E254">
        <v>1</v>
      </c>
      <c r="F254">
        <v>2</v>
      </c>
      <c r="G254">
        <v>3</v>
      </c>
      <c r="K254">
        <v>1</v>
      </c>
      <c r="L254">
        <v>2</v>
      </c>
      <c r="M254">
        <v>3</v>
      </c>
      <c r="X254" s="26"/>
      <c r="Y254" s="26"/>
      <c r="Z254" s="26"/>
      <c r="AA254" s="26"/>
      <c r="AB254" s="26"/>
      <c r="AC254" s="26"/>
      <c r="AD254" s="26"/>
      <c r="AE254" s="26"/>
    </row>
    <row r="255" spans="4:31" x14ac:dyDescent="0.35">
      <c r="D255">
        <v>1</v>
      </c>
      <c r="E255" s="16">
        <f>$F$2</f>
        <v>0.94640000000000002</v>
      </c>
      <c r="F255" s="16">
        <f>$G$2</f>
        <v>2.6100000000000002E-2</v>
      </c>
      <c r="G255" s="16">
        <f>$H$2</f>
        <v>2.75E-2</v>
      </c>
      <c r="K255" s="16">
        <f>D256*E255</f>
        <v>4.9601391839999992E-9</v>
      </c>
      <c r="L255" s="16">
        <f>D256*F255</f>
        <v>1.3679166599999997E-10</v>
      </c>
      <c r="M255" s="16">
        <f>D256*G255</f>
        <v>1.4412914999999996E-10</v>
      </c>
      <c r="X255" s="26"/>
      <c r="Y255" s="26"/>
      <c r="Z255" s="26"/>
      <c r="AA255" s="27"/>
      <c r="AB255" s="27"/>
      <c r="AC255" s="27"/>
      <c r="AD255" s="26"/>
      <c r="AE255" s="26"/>
    </row>
    <row r="256" spans="4:31" x14ac:dyDescent="0.35">
      <c r="D256" s="16">
        <v>5.2410599999999989E-9</v>
      </c>
      <c r="X256" s="26"/>
      <c r="Y256" s="26"/>
      <c r="Z256" s="26"/>
      <c r="AA256" s="26"/>
      <c r="AB256" s="26"/>
      <c r="AC256" s="26"/>
      <c r="AD256" s="26"/>
      <c r="AE256" s="26"/>
    </row>
    <row r="257" spans="4:31" x14ac:dyDescent="0.35">
      <c r="X257" s="26"/>
      <c r="Y257" s="26"/>
      <c r="Z257" s="26"/>
      <c r="AA257" s="26"/>
      <c r="AB257" s="26"/>
      <c r="AC257" s="26"/>
      <c r="AD257" s="26"/>
      <c r="AE257" s="26"/>
    </row>
    <row r="258" spans="4:31" x14ac:dyDescent="0.35">
      <c r="E258">
        <v>1</v>
      </c>
      <c r="F258">
        <v>2</v>
      </c>
      <c r="G258">
        <v>3</v>
      </c>
      <c r="K258">
        <v>1</v>
      </c>
      <c r="L258">
        <v>2</v>
      </c>
      <c r="M258">
        <v>3</v>
      </c>
      <c r="X258" s="26"/>
      <c r="Y258" s="26"/>
      <c r="Z258" s="26"/>
      <c r="AA258" s="26"/>
      <c r="AB258" s="26"/>
      <c r="AC258" s="26"/>
      <c r="AD258" s="26"/>
      <c r="AE258" s="26"/>
    </row>
    <row r="259" spans="4:31" x14ac:dyDescent="0.35">
      <c r="D259">
        <v>2</v>
      </c>
      <c r="E259" s="16">
        <f>$I$2</f>
        <v>0.14080000000000001</v>
      </c>
      <c r="F259" s="16">
        <f>$J$2</f>
        <v>0.32979999999999998</v>
      </c>
      <c r="G259" s="16">
        <f>$K$2</f>
        <v>0.52939999999999998</v>
      </c>
      <c r="K259" s="16">
        <f>D260*E259</f>
        <v>2.1769266815999999E-8</v>
      </c>
      <c r="L259" s="16">
        <f>D260*F259</f>
        <v>5.0990796845999988E-8</v>
      </c>
      <c r="M259" s="16">
        <f>D260*G259</f>
        <v>8.185120633799999E-8</v>
      </c>
      <c r="X259" s="26"/>
      <c r="Y259" s="26"/>
      <c r="Z259" s="26"/>
      <c r="AA259" s="27"/>
      <c r="AB259" s="27"/>
      <c r="AC259" s="27"/>
      <c r="AD259" s="26"/>
      <c r="AE259" s="26"/>
    </row>
    <row r="260" spans="4:31" x14ac:dyDescent="0.35">
      <c r="D260" s="16">
        <v>1.5461126999999998E-7</v>
      </c>
      <c r="X260" s="26"/>
      <c r="Y260" s="26"/>
      <c r="Z260" s="26"/>
      <c r="AA260" s="26"/>
      <c r="AB260" s="26"/>
      <c r="AC260" s="26"/>
      <c r="AD260" s="26"/>
      <c r="AE260" s="26"/>
    </row>
    <row r="261" spans="4:31" x14ac:dyDescent="0.35">
      <c r="X261" s="26"/>
      <c r="Y261" s="26"/>
      <c r="Z261" s="26"/>
      <c r="AA261" s="26"/>
      <c r="AB261" s="26"/>
      <c r="AC261" s="26"/>
      <c r="AD261" s="26"/>
      <c r="AE261" s="26"/>
    </row>
    <row r="262" spans="4:31" x14ac:dyDescent="0.35">
      <c r="E262">
        <v>1</v>
      </c>
      <c r="F262">
        <v>2</v>
      </c>
      <c r="G262">
        <v>3</v>
      </c>
      <c r="K262">
        <v>1</v>
      </c>
      <c r="L262">
        <v>2</v>
      </c>
      <c r="M262">
        <v>3</v>
      </c>
      <c r="X262" s="26"/>
      <c r="Y262" s="26"/>
      <c r="Z262" s="26"/>
      <c r="AA262" s="26"/>
      <c r="AB262" s="26"/>
      <c r="AC262" s="26"/>
      <c r="AD262" s="26"/>
      <c r="AE262" s="26"/>
    </row>
    <row r="263" spans="4:31" x14ac:dyDescent="0.35">
      <c r="D263">
        <v>3</v>
      </c>
      <c r="E263" s="16">
        <f>$L$2</f>
        <v>5.9999999999999995E-4</v>
      </c>
      <c r="F263" s="16">
        <f>$M$2</f>
        <v>1.77E-2</v>
      </c>
      <c r="G263" s="16">
        <f>$N$2</f>
        <v>0.98170000000000002</v>
      </c>
      <c r="K263" s="16">
        <f>D264*E263</f>
        <v>5.1451486019999988E-9</v>
      </c>
      <c r="L263" s="16">
        <f>D264*F263</f>
        <v>1.5178188375899999E-7</v>
      </c>
      <c r="M263" s="16">
        <f>D264*G263</f>
        <v>8.4183206376389997E-6</v>
      </c>
      <c r="X263" s="26"/>
      <c r="Y263" s="26"/>
      <c r="Z263" s="26"/>
      <c r="AA263" s="27"/>
      <c r="AB263" s="27"/>
      <c r="AC263" s="27"/>
      <c r="AD263" s="26"/>
      <c r="AE263" s="26"/>
    </row>
    <row r="264" spans="4:31" x14ac:dyDescent="0.35">
      <c r="D264" s="16">
        <v>8.5752476699999991E-6</v>
      </c>
      <c r="X264" s="26"/>
      <c r="Y264" s="26"/>
      <c r="Z264" s="26"/>
      <c r="AA264" s="26"/>
      <c r="AB264" s="26"/>
      <c r="AC264" s="26"/>
      <c r="AD264" s="26"/>
      <c r="AE264" s="26"/>
    </row>
    <row r="265" spans="4:31" x14ac:dyDescent="0.35">
      <c r="X265" s="26"/>
      <c r="Y265" s="26"/>
      <c r="Z265" s="26"/>
      <c r="AA265" s="26"/>
      <c r="AB265" s="26"/>
      <c r="AC265" s="26"/>
      <c r="AD265" s="26"/>
      <c r="AE265" s="26"/>
    </row>
    <row r="266" spans="4:31" x14ac:dyDescent="0.35">
      <c r="E266">
        <v>1</v>
      </c>
      <c r="F266">
        <v>2</v>
      </c>
      <c r="G266">
        <v>3</v>
      </c>
      <c r="K266">
        <v>1</v>
      </c>
      <c r="L266">
        <v>2</v>
      </c>
      <c r="M266">
        <v>3</v>
      </c>
      <c r="X266" s="26"/>
      <c r="Y266" s="26"/>
      <c r="Z266" s="26"/>
      <c r="AA266" s="26"/>
      <c r="AB266" s="26"/>
      <c r="AC266" s="26"/>
      <c r="AD266" s="26"/>
      <c r="AE266" s="26"/>
    </row>
    <row r="267" spans="4:31" x14ac:dyDescent="0.35">
      <c r="D267">
        <v>1</v>
      </c>
      <c r="E267" s="16">
        <f>$F$2</f>
        <v>0.94640000000000002</v>
      </c>
      <c r="F267" s="16">
        <f>$G$2</f>
        <v>2.6100000000000002E-2</v>
      </c>
      <c r="G267" s="16">
        <f>$H$2</f>
        <v>2.75E-2</v>
      </c>
      <c r="K267" s="16">
        <f>D268*E267</f>
        <v>1.1817056755222119E-3</v>
      </c>
      <c r="L267" s="16">
        <f>D268*F267</f>
        <v>3.2589304872284159E-5</v>
      </c>
      <c r="M267" s="16">
        <f>D268*G267</f>
        <v>3.4337390191103996E-5</v>
      </c>
      <c r="X267" s="26"/>
      <c r="Y267" s="26"/>
      <c r="Z267" s="26"/>
      <c r="AA267" s="27"/>
      <c r="AB267" s="27"/>
      <c r="AC267" s="27"/>
      <c r="AD267" s="26"/>
      <c r="AE267" s="26"/>
    </row>
    <row r="268" spans="4:31" x14ac:dyDescent="0.35">
      <c r="D268" s="16">
        <v>1.2486323705855999E-3</v>
      </c>
      <c r="X268" s="26"/>
      <c r="Y268" s="26"/>
      <c r="Z268" s="26"/>
      <c r="AA268" s="26"/>
      <c r="AB268" s="26"/>
      <c r="AC268" s="26"/>
      <c r="AD268" s="26"/>
      <c r="AE268" s="26"/>
    </row>
    <row r="269" spans="4:31" x14ac:dyDescent="0.35">
      <c r="X269" s="26"/>
      <c r="Y269" s="26"/>
      <c r="Z269" s="26"/>
      <c r="AA269" s="26"/>
      <c r="AB269" s="26"/>
      <c r="AC269" s="26"/>
      <c r="AD269" s="26"/>
      <c r="AE269" s="26"/>
    </row>
    <row r="270" spans="4:31" x14ac:dyDescent="0.35">
      <c r="E270">
        <v>1</v>
      </c>
      <c r="F270">
        <v>2</v>
      </c>
      <c r="G270">
        <v>3</v>
      </c>
      <c r="K270">
        <v>1</v>
      </c>
      <c r="L270">
        <v>2</v>
      </c>
      <c r="M270">
        <v>3</v>
      </c>
      <c r="X270" s="26"/>
      <c r="Y270" s="26"/>
      <c r="Z270" s="26"/>
      <c r="AA270" s="26"/>
      <c r="AB270" s="26"/>
      <c r="AC270" s="26"/>
      <c r="AD270" s="26"/>
      <c r="AE270" s="26"/>
    </row>
    <row r="271" spans="4:31" x14ac:dyDescent="0.35">
      <c r="D271">
        <v>2</v>
      </c>
      <c r="E271" s="16">
        <f>$I$2</f>
        <v>0.14080000000000001</v>
      </c>
      <c r="F271" s="16">
        <f>$J$2</f>
        <v>0.32979999999999998</v>
      </c>
      <c r="G271" s="16">
        <f>$K$2</f>
        <v>0.52939999999999998</v>
      </c>
      <c r="K271" s="16">
        <f>D272*E271</f>
        <v>4.848451105259521E-6</v>
      </c>
      <c r="L271" s="16">
        <f>D272*F271</f>
        <v>1.135667027354112E-5</v>
      </c>
      <c r="M271" s="16">
        <f>D272*G271</f>
        <v>1.8229900675599364E-5</v>
      </c>
      <c r="X271" s="26"/>
      <c r="Y271" s="26"/>
      <c r="Z271" s="26"/>
      <c r="AA271" s="27"/>
      <c r="AB271" s="27"/>
      <c r="AC271" s="27"/>
      <c r="AD271" s="26"/>
      <c r="AE271" s="26"/>
    </row>
    <row r="272" spans="4:31" x14ac:dyDescent="0.35">
      <c r="D272" s="16">
        <v>3.4435022054400005E-5</v>
      </c>
      <c r="X272" s="26"/>
      <c r="Y272" s="26"/>
      <c r="Z272" s="26"/>
      <c r="AA272" s="26"/>
      <c r="AB272" s="26"/>
      <c r="AC272" s="26"/>
      <c r="AD272" s="26"/>
      <c r="AE272" s="26"/>
    </row>
    <row r="273" spans="4:31" x14ac:dyDescent="0.35">
      <c r="X273" s="26"/>
      <c r="Y273" s="26"/>
      <c r="Z273" s="26"/>
      <c r="AA273" s="26"/>
      <c r="AB273" s="26"/>
      <c r="AC273" s="26"/>
      <c r="AD273" s="26"/>
      <c r="AE273" s="26"/>
    </row>
    <row r="274" spans="4:31" x14ac:dyDescent="0.35">
      <c r="E274">
        <v>1</v>
      </c>
      <c r="F274">
        <v>2</v>
      </c>
      <c r="G274">
        <v>3</v>
      </c>
      <c r="K274">
        <v>1</v>
      </c>
      <c r="L274">
        <v>2</v>
      </c>
      <c r="M274">
        <v>3</v>
      </c>
      <c r="X274" s="26"/>
      <c r="Y274" s="26"/>
      <c r="Z274" s="26"/>
      <c r="AA274" s="26"/>
      <c r="AB274" s="26"/>
      <c r="AC274" s="26"/>
      <c r="AD274" s="26"/>
      <c r="AE274" s="26"/>
    </row>
    <row r="275" spans="4:31" x14ac:dyDescent="0.35">
      <c r="D275">
        <v>3</v>
      </c>
      <c r="E275" s="16">
        <f>$L$2</f>
        <v>5.9999999999999995E-4</v>
      </c>
      <c r="F275" s="16">
        <f>$M$2</f>
        <v>1.77E-2</v>
      </c>
      <c r="G275" s="16">
        <f>$N$2</f>
        <v>0.98170000000000002</v>
      </c>
      <c r="K275" s="16">
        <f>D276*E275</f>
        <v>2.1769266815999999E-8</v>
      </c>
      <c r="L275" s="16">
        <f>D276*F275</f>
        <v>6.4219337107199998E-7</v>
      </c>
      <c r="M275" s="16">
        <f>D276*G275</f>
        <v>3.5618148722112001E-5</v>
      </c>
      <c r="X275" s="26"/>
      <c r="Y275" s="26"/>
      <c r="Z275" s="26"/>
      <c r="AA275" s="27"/>
      <c r="AB275" s="27"/>
      <c r="AC275" s="27"/>
      <c r="AD275" s="26"/>
      <c r="AE275" s="26"/>
    </row>
    <row r="276" spans="4:31" x14ac:dyDescent="0.35">
      <c r="D276" s="16">
        <v>3.628211136E-5</v>
      </c>
      <c r="X276" s="26"/>
      <c r="Y276" s="26"/>
      <c r="Z276" s="26"/>
      <c r="AA276" s="26"/>
      <c r="AB276" s="26"/>
      <c r="AC276" s="26"/>
      <c r="AD276" s="26"/>
      <c r="AE276" s="26"/>
    </row>
    <row r="277" spans="4:31" x14ac:dyDescent="0.35">
      <c r="X277" s="26"/>
      <c r="Y277" s="26"/>
      <c r="Z277" s="26"/>
      <c r="AA277" s="26"/>
      <c r="AB277" s="26"/>
      <c r="AC277" s="26"/>
      <c r="AD277" s="26"/>
      <c r="AE277" s="26"/>
    </row>
    <row r="278" spans="4:31" x14ac:dyDescent="0.35">
      <c r="E278">
        <v>1</v>
      </c>
      <c r="F278">
        <v>2</v>
      </c>
      <c r="G278">
        <v>3</v>
      </c>
      <c r="K278">
        <v>1</v>
      </c>
      <c r="L278">
        <v>2</v>
      </c>
      <c r="M278">
        <v>3</v>
      </c>
      <c r="X278" s="26"/>
      <c r="Y278" s="26"/>
      <c r="Z278" s="26"/>
      <c r="AA278" s="26"/>
      <c r="AB278" s="26"/>
      <c r="AC278" s="26"/>
      <c r="AD278" s="26"/>
      <c r="AE278" s="26"/>
    </row>
    <row r="279" spans="4:31" x14ac:dyDescent="0.35">
      <c r="D279">
        <v>1</v>
      </c>
      <c r="E279" s="16">
        <f>$F$2</f>
        <v>0.94640000000000002</v>
      </c>
      <c r="F279" s="16">
        <f>$G$2</f>
        <v>2.6100000000000002E-2</v>
      </c>
      <c r="G279" s="16">
        <f>$H$2</f>
        <v>2.75E-2</v>
      </c>
      <c r="K279" s="16">
        <f>D280*E279</f>
        <v>4.1179895581913082E-4</v>
      </c>
      <c r="L279" s="16">
        <f>D280*F279</f>
        <v>1.1356670273541119E-5</v>
      </c>
      <c r="M279" s="16">
        <f>D280*G279</f>
        <v>1.1965840326527999E-5</v>
      </c>
      <c r="X279" s="26"/>
      <c r="Y279" s="26"/>
      <c r="Z279" s="26"/>
      <c r="AA279" s="27"/>
      <c r="AB279" s="27"/>
      <c r="AC279" s="27"/>
      <c r="AD279" s="26"/>
      <c r="AE279" s="26"/>
    </row>
    <row r="280" spans="4:31" x14ac:dyDescent="0.35">
      <c r="D280" s="16">
        <v>4.3512146641919993E-4</v>
      </c>
      <c r="X280" s="26"/>
      <c r="Y280" s="26"/>
      <c r="Z280" s="26"/>
      <c r="AA280" s="26"/>
      <c r="AB280" s="26"/>
      <c r="AC280" s="26"/>
      <c r="AD280" s="26"/>
      <c r="AE280" s="26"/>
    </row>
    <row r="281" spans="4:31" x14ac:dyDescent="0.35">
      <c r="X281" s="26"/>
      <c r="Y281" s="26"/>
      <c r="Z281" s="26"/>
      <c r="AA281" s="26"/>
      <c r="AB281" s="26"/>
      <c r="AC281" s="26"/>
      <c r="AD281" s="26"/>
      <c r="AE281" s="26"/>
    </row>
    <row r="282" spans="4:31" x14ac:dyDescent="0.35">
      <c r="E282">
        <v>1</v>
      </c>
      <c r="F282">
        <v>2</v>
      </c>
      <c r="G282">
        <v>3</v>
      </c>
      <c r="K282">
        <v>1</v>
      </c>
      <c r="L282">
        <v>2</v>
      </c>
      <c r="M282">
        <v>3</v>
      </c>
      <c r="X282" s="26"/>
      <c r="Y282" s="26"/>
      <c r="Z282" s="26"/>
      <c r="AA282" s="26"/>
      <c r="AB282" s="26"/>
      <c r="AC282" s="26"/>
      <c r="AD282" s="26"/>
      <c r="AE282" s="26"/>
    </row>
    <row r="283" spans="4:31" x14ac:dyDescent="0.35">
      <c r="D283">
        <v>2</v>
      </c>
      <c r="E283" s="16">
        <f>$I$2</f>
        <v>0.14080000000000001</v>
      </c>
      <c r="F283" s="16">
        <f>$J$2</f>
        <v>0.32979999999999998</v>
      </c>
      <c r="G283" s="16">
        <f>$K$2</f>
        <v>0.52939999999999998</v>
      </c>
      <c r="K283" s="16">
        <f>D284*E283</f>
        <v>1.4350305962505214E-4</v>
      </c>
      <c r="L283" s="16">
        <f>D284*F283</f>
        <v>3.3613145642288488E-4</v>
      </c>
      <c r="M283" s="16">
        <f>D284*G283</f>
        <v>5.3956335060726269E-4</v>
      </c>
      <c r="X283" s="26"/>
      <c r="Y283" s="26"/>
      <c r="Z283" s="26"/>
      <c r="AA283" s="26"/>
      <c r="AB283" s="26"/>
      <c r="AC283" s="26"/>
      <c r="AD283" s="26"/>
      <c r="AE283" s="26"/>
    </row>
    <row r="284" spans="4:31" x14ac:dyDescent="0.35">
      <c r="D284" s="16">
        <v>1.0191978666551998E-3</v>
      </c>
      <c r="X284" s="26"/>
      <c r="Y284" s="26"/>
      <c r="Z284" s="26"/>
      <c r="AA284" s="26"/>
      <c r="AB284" s="26"/>
      <c r="AC284" s="26"/>
      <c r="AD284" s="26"/>
      <c r="AE284" s="26"/>
    </row>
    <row r="285" spans="4:31" x14ac:dyDescent="0.35">
      <c r="X285" s="26"/>
      <c r="Y285" s="26"/>
      <c r="Z285" s="26"/>
      <c r="AA285" s="26"/>
      <c r="AB285" s="26"/>
      <c r="AC285" s="26"/>
      <c r="AD285" s="26"/>
      <c r="AE285" s="26"/>
    </row>
    <row r="286" spans="4:31" x14ac:dyDescent="0.35">
      <c r="E286">
        <v>1</v>
      </c>
      <c r="F286">
        <v>2</v>
      </c>
      <c r="G286">
        <v>3</v>
      </c>
      <c r="K286">
        <v>1</v>
      </c>
      <c r="L286">
        <v>2</v>
      </c>
      <c r="M286">
        <v>3</v>
      </c>
      <c r="X286" s="26"/>
      <c r="Y286" s="26"/>
      <c r="Z286" s="26"/>
      <c r="AA286" s="26"/>
      <c r="AB286" s="26"/>
      <c r="AC286" s="26"/>
      <c r="AD286" s="26"/>
      <c r="AE286" s="26"/>
    </row>
    <row r="287" spans="4:31" x14ac:dyDescent="0.35">
      <c r="D287">
        <v>3</v>
      </c>
      <c r="E287" s="16">
        <f>$L$2</f>
        <v>5.9999999999999995E-4</v>
      </c>
      <c r="F287" s="16">
        <f>$M$2</f>
        <v>1.77E-2</v>
      </c>
      <c r="G287" s="16">
        <f>$N$2</f>
        <v>0.98170000000000002</v>
      </c>
      <c r="K287" s="16">
        <f>D288*E287</f>
        <v>9.8161919455535971E-7</v>
      </c>
      <c r="L287" s="16">
        <f>D288*F287</f>
        <v>2.8957766239383115E-5</v>
      </c>
      <c r="M287" s="16">
        <f>D288*G287</f>
        <v>1.6060926054916611E-3</v>
      </c>
      <c r="X287" s="26"/>
      <c r="Y287" s="26"/>
      <c r="Z287" s="26"/>
      <c r="AA287" s="26"/>
      <c r="AB287" s="26"/>
      <c r="AC287" s="26"/>
      <c r="AD287" s="26"/>
      <c r="AE287" s="26"/>
    </row>
    <row r="288" spans="4:31" x14ac:dyDescent="0.35">
      <c r="D288" s="16">
        <v>1.6360319909255996E-3</v>
      </c>
      <c r="X288" s="26"/>
      <c r="Y288" s="26"/>
      <c r="Z288" s="26"/>
      <c r="AA288" s="26"/>
      <c r="AB288" s="26"/>
      <c r="AC288" s="26"/>
      <c r="AD288" s="26"/>
      <c r="AE288" s="26"/>
    </row>
    <row r="289" spans="4:31" x14ac:dyDescent="0.35">
      <c r="X289" s="26"/>
      <c r="Y289" s="26"/>
      <c r="Z289" s="26"/>
      <c r="AA289" s="26"/>
      <c r="AB289" s="26"/>
      <c r="AC289" s="26"/>
      <c r="AD289" s="26"/>
      <c r="AE289" s="26"/>
    </row>
    <row r="290" spans="4:31" x14ac:dyDescent="0.35">
      <c r="E290">
        <v>1</v>
      </c>
      <c r="F290">
        <v>2</v>
      </c>
      <c r="G290">
        <v>3</v>
      </c>
      <c r="K290">
        <v>1</v>
      </c>
      <c r="L290">
        <v>2</v>
      </c>
      <c r="M290">
        <v>3</v>
      </c>
      <c r="X290" s="26"/>
      <c r="Y290" s="26"/>
      <c r="Z290" s="26"/>
      <c r="AA290" s="26"/>
      <c r="AB290" s="26"/>
      <c r="AC290" s="26"/>
      <c r="AD290" s="26"/>
      <c r="AE290" s="26"/>
    </row>
    <row r="291" spans="4:31" x14ac:dyDescent="0.35">
      <c r="D291">
        <v>1</v>
      </c>
      <c r="E291" s="16">
        <f>$F$2</f>
        <v>0.94640000000000002</v>
      </c>
      <c r="F291" s="16">
        <f>$G$2</f>
        <v>2.6100000000000002E-2</v>
      </c>
      <c r="G291" s="16">
        <f>$H$2</f>
        <v>2.75E-2</v>
      </c>
      <c r="K291" s="16">
        <f>D292*E291</f>
        <v>2.8168720610284792E-6</v>
      </c>
      <c r="L291" s="16">
        <f>D292*F291</f>
        <v>7.7684235833519981E-8</v>
      </c>
      <c r="M291" s="16">
        <f>D292*G291</f>
        <v>8.1851206337999977E-8</v>
      </c>
      <c r="X291" s="26"/>
      <c r="Y291" s="26"/>
      <c r="Z291" s="26"/>
      <c r="AA291" s="26"/>
      <c r="AB291" s="26"/>
      <c r="AC291" s="26"/>
      <c r="AD291" s="26"/>
      <c r="AE291" s="26"/>
    </row>
    <row r="292" spans="4:31" x14ac:dyDescent="0.35">
      <c r="D292" s="16">
        <v>2.9764075031999991E-6</v>
      </c>
      <c r="X292" s="26"/>
      <c r="Y292" s="26"/>
      <c r="Z292" s="26"/>
      <c r="AA292" s="26"/>
      <c r="AB292" s="26"/>
      <c r="AC292" s="26"/>
      <c r="AD292" s="26"/>
      <c r="AE292" s="26"/>
    </row>
    <row r="293" spans="4:31" x14ac:dyDescent="0.35">
      <c r="X293" s="26"/>
      <c r="Y293" s="26"/>
      <c r="Z293" s="26"/>
      <c r="AA293" s="26"/>
      <c r="AB293" s="26"/>
      <c r="AC293" s="26"/>
      <c r="AD293" s="26"/>
      <c r="AE293" s="26"/>
    </row>
    <row r="294" spans="4:31" x14ac:dyDescent="0.35">
      <c r="E294">
        <v>1</v>
      </c>
      <c r="F294">
        <v>2</v>
      </c>
      <c r="G294">
        <v>3</v>
      </c>
      <c r="K294">
        <v>1</v>
      </c>
      <c r="L294">
        <v>2</v>
      </c>
      <c r="M294">
        <v>3</v>
      </c>
      <c r="X294" s="26"/>
      <c r="Y294" s="26"/>
      <c r="Z294" s="26"/>
      <c r="AA294" s="26"/>
      <c r="AB294" s="26"/>
      <c r="AC294" s="26"/>
      <c r="AD294" s="26"/>
      <c r="AE294" s="26"/>
    </row>
    <row r="295" spans="4:31" x14ac:dyDescent="0.35">
      <c r="D295">
        <v>2</v>
      </c>
      <c r="E295" s="16">
        <f>$I$2</f>
        <v>0.14080000000000001</v>
      </c>
      <c r="F295" s="16">
        <f>$J$2</f>
        <v>0.32979999999999998</v>
      </c>
      <c r="G295" s="16">
        <f>$K$2</f>
        <v>0.52939999999999998</v>
      </c>
      <c r="K295" s="16">
        <f>D296*E295</f>
        <v>1.2362806205291519E-5</v>
      </c>
      <c r="L295" s="16">
        <f>D296*F295</f>
        <v>2.8957766239383115E-5</v>
      </c>
      <c r="M295" s="16">
        <f>D296*G295</f>
        <v>4.6483448899725357E-5</v>
      </c>
      <c r="X295" s="26"/>
      <c r="Y295" s="26"/>
      <c r="Z295" s="26"/>
      <c r="AA295" s="26"/>
      <c r="AB295" s="26"/>
      <c r="AC295" s="26"/>
      <c r="AD295" s="26"/>
      <c r="AE295" s="26"/>
    </row>
    <row r="296" spans="4:31" x14ac:dyDescent="0.35">
      <c r="D296" s="16">
        <v>8.780402134439999E-5</v>
      </c>
      <c r="X296" s="26"/>
      <c r="Y296" s="26"/>
      <c r="Z296" s="26"/>
      <c r="AA296" s="26"/>
      <c r="AB296" s="26"/>
      <c r="AC296" s="26"/>
      <c r="AD296" s="26"/>
      <c r="AE296" s="26"/>
    </row>
    <row r="297" spans="4:31" x14ac:dyDescent="0.35">
      <c r="X297" s="26"/>
      <c r="Y297" s="26"/>
      <c r="Z297" s="26"/>
      <c r="AA297" s="26"/>
      <c r="AB297" s="26"/>
      <c r="AC297" s="26"/>
      <c r="AD297" s="26"/>
      <c r="AE297" s="26"/>
    </row>
    <row r="298" spans="4:31" x14ac:dyDescent="0.35">
      <c r="E298">
        <v>1</v>
      </c>
      <c r="F298">
        <v>2</v>
      </c>
      <c r="G298">
        <v>3</v>
      </c>
      <c r="K298">
        <v>1</v>
      </c>
      <c r="L298">
        <v>2</v>
      </c>
      <c r="M298">
        <v>3</v>
      </c>
      <c r="X298" s="26"/>
      <c r="Y298" s="26"/>
      <c r="Z298" s="26"/>
      <c r="AA298" s="26"/>
      <c r="AB298" s="26"/>
      <c r="AC298" s="26"/>
      <c r="AD298" s="26"/>
      <c r="AE298" s="26"/>
    </row>
    <row r="299" spans="4:31" x14ac:dyDescent="0.35">
      <c r="D299">
        <v>3</v>
      </c>
      <c r="E299" s="16">
        <f>$L$2</f>
        <v>5.9999999999999995E-4</v>
      </c>
      <c r="F299" s="16">
        <f>$M$2</f>
        <v>1.77E-2</v>
      </c>
      <c r="G299" s="16">
        <f>$N$2</f>
        <v>0.98170000000000002</v>
      </c>
      <c r="K299" s="16">
        <f>D300*E299</f>
        <v>2.9219392458914394E-6</v>
      </c>
      <c r="L299" s="16">
        <f>D300*F299</f>
        <v>8.619720775379747E-5</v>
      </c>
      <c r="M299" s="16">
        <f>D300*G299</f>
        <v>4.7807795961527103E-3</v>
      </c>
      <c r="X299" s="26"/>
      <c r="Y299" s="26"/>
      <c r="Z299" s="26"/>
      <c r="AA299" s="26"/>
      <c r="AB299" s="26"/>
      <c r="AC299" s="26"/>
      <c r="AD299" s="26"/>
      <c r="AE299" s="26"/>
    </row>
    <row r="300" spans="4:31" x14ac:dyDescent="0.35">
      <c r="D300" s="16">
        <v>4.8698987431523991E-3</v>
      </c>
      <c r="X300" s="26"/>
      <c r="Y300" s="26"/>
      <c r="Z300" s="26"/>
      <c r="AA300" s="26"/>
      <c r="AB300" s="26"/>
      <c r="AC300" s="26"/>
      <c r="AD300" s="26"/>
      <c r="AE300" s="26"/>
    </row>
    <row r="301" spans="4:31" x14ac:dyDescent="0.35">
      <c r="X301" s="26"/>
      <c r="Y301" s="26"/>
      <c r="Z301" s="26"/>
      <c r="AA301" s="26"/>
      <c r="AB301" s="26"/>
      <c r="AC301" s="26"/>
      <c r="AD301" s="26"/>
      <c r="AE301" s="26"/>
    </row>
    <row r="302" spans="4:31" x14ac:dyDescent="0.35">
      <c r="E302">
        <v>1</v>
      </c>
      <c r="F302">
        <v>2</v>
      </c>
      <c r="G302">
        <v>3</v>
      </c>
      <c r="K302">
        <v>1</v>
      </c>
      <c r="L302">
        <v>2</v>
      </c>
      <c r="M302">
        <v>3</v>
      </c>
      <c r="X302" s="26"/>
      <c r="Y302" s="26"/>
      <c r="Z302" s="26"/>
      <c r="AA302" s="26"/>
      <c r="AB302" s="26"/>
      <c r="AC302" s="26"/>
      <c r="AD302" s="26"/>
      <c r="AE302" s="26"/>
    </row>
    <row r="303" spans="4:31" x14ac:dyDescent="0.35">
      <c r="D303">
        <v>1</v>
      </c>
      <c r="E303" s="16">
        <f>$F$2</f>
        <v>0.94640000000000002</v>
      </c>
      <c r="F303" s="16">
        <f>$G$2</f>
        <v>2.6100000000000002E-2</v>
      </c>
      <c r="G303" s="16">
        <f>$H$2</f>
        <v>2.75E-2</v>
      </c>
      <c r="K303" s="16">
        <f>D304*E303</f>
        <v>2.7929518048443647E-4</v>
      </c>
      <c r="L303" s="16">
        <f>D304*F303</f>
        <v>7.7024558438755199E-6</v>
      </c>
      <c r="M303" s="16">
        <f>D304*G303</f>
        <v>8.115614394887999E-6</v>
      </c>
      <c r="X303" s="26"/>
      <c r="Y303" s="26"/>
      <c r="Z303" s="26"/>
      <c r="AA303" s="26"/>
      <c r="AB303" s="26"/>
      <c r="AC303" s="26"/>
      <c r="AD303" s="26"/>
      <c r="AE303" s="26"/>
    </row>
    <row r="304" spans="4:31" x14ac:dyDescent="0.35">
      <c r="D304" s="16">
        <v>2.9511325072319996E-4</v>
      </c>
      <c r="X304" s="26"/>
      <c r="Y304" s="26"/>
      <c r="Z304" s="26"/>
      <c r="AA304" s="26"/>
      <c r="AB304" s="26"/>
      <c r="AC304" s="26"/>
      <c r="AD304" s="26"/>
      <c r="AE304" s="26"/>
    </row>
    <row r="305" spans="4:31" x14ac:dyDescent="0.35">
      <c r="X305" s="26"/>
      <c r="Y305" s="26"/>
      <c r="Z305" s="26"/>
      <c r="AA305" s="26"/>
      <c r="AB305" s="26"/>
      <c r="AC305" s="26"/>
      <c r="AD305" s="26"/>
      <c r="AE305" s="26"/>
    </row>
    <row r="306" spans="4:31" x14ac:dyDescent="0.35">
      <c r="E306">
        <v>1</v>
      </c>
      <c r="F306">
        <v>2</v>
      </c>
      <c r="G306">
        <v>3</v>
      </c>
      <c r="K306">
        <v>1</v>
      </c>
      <c r="L306">
        <v>2</v>
      </c>
      <c r="M306">
        <v>3</v>
      </c>
      <c r="X306" s="26"/>
      <c r="Y306" s="26"/>
      <c r="Z306" s="26"/>
      <c r="AA306" s="26"/>
      <c r="AB306" s="26"/>
      <c r="AC306" s="26"/>
      <c r="AD306" s="26"/>
      <c r="AE306" s="26"/>
    </row>
    <row r="307" spans="4:31" x14ac:dyDescent="0.35">
      <c r="D307">
        <v>2</v>
      </c>
      <c r="E307" s="16">
        <f>$I$2</f>
        <v>0.14080000000000001</v>
      </c>
      <c r="F307" s="16">
        <f>$J$2</f>
        <v>0.32979999999999998</v>
      </c>
      <c r="G307" s="16">
        <f>$K$2</f>
        <v>0.52939999999999998</v>
      </c>
      <c r="K307" s="16">
        <f>D308*E307</f>
        <v>1.1459274966374401E-6</v>
      </c>
      <c r="L307" s="16">
        <f>D308*F307</f>
        <v>2.6841398323226394E-6</v>
      </c>
      <c r="M307" s="16">
        <f>D308*G307</f>
        <v>4.3086222778399195E-6</v>
      </c>
      <c r="X307" s="26"/>
      <c r="Y307" s="26"/>
      <c r="Z307" s="26"/>
      <c r="AA307" s="26"/>
      <c r="AB307" s="26"/>
      <c r="AC307" s="26"/>
      <c r="AD307" s="26"/>
      <c r="AE307" s="26"/>
    </row>
    <row r="308" spans="4:31" x14ac:dyDescent="0.35">
      <c r="D308" s="16">
        <v>8.1386896067999992E-6</v>
      </c>
      <c r="X308" s="26"/>
      <c r="Y308" s="26"/>
      <c r="Z308" s="26"/>
      <c r="AA308" s="26"/>
      <c r="AB308" s="26"/>
      <c r="AC308" s="26"/>
      <c r="AD308" s="26"/>
      <c r="AE308" s="26"/>
    </row>
    <row r="309" spans="4:31" x14ac:dyDescent="0.35">
      <c r="X309" s="26"/>
      <c r="Y309" s="26"/>
      <c r="Z309" s="26"/>
      <c r="AA309" s="26"/>
      <c r="AB309" s="26"/>
      <c r="AC309" s="26"/>
      <c r="AD309" s="26"/>
      <c r="AE309" s="26"/>
    </row>
    <row r="310" spans="4:31" x14ac:dyDescent="0.35">
      <c r="E310">
        <v>1</v>
      </c>
      <c r="F310">
        <v>2</v>
      </c>
      <c r="G310">
        <v>3</v>
      </c>
      <c r="K310">
        <v>1</v>
      </c>
      <c r="L310">
        <v>2</v>
      </c>
      <c r="M310">
        <v>3</v>
      </c>
      <c r="X310" s="26"/>
      <c r="Y310" s="26"/>
      <c r="Z310" s="26"/>
      <c r="AA310" s="26"/>
      <c r="AB310" s="26"/>
      <c r="AC310" s="26"/>
      <c r="AD310" s="26"/>
      <c r="AE310" s="26"/>
    </row>
    <row r="311" spans="4:31" x14ac:dyDescent="0.35">
      <c r="D311">
        <v>3</v>
      </c>
      <c r="E311" s="16">
        <f>$L$2</f>
        <v>5.9999999999999995E-4</v>
      </c>
      <c r="F311" s="16">
        <f>$M$2</f>
        <v>1.77E-2</v>
      </c>
      <c r="G311" s="16">
        <f>$N$2</f>
        <v>0.98170000000000002</v>
      </c>
      <c r="K311" s="16">
        <f>D312*E311</f>
        <v>5.145148601999998E-9</v>
      </c>
      <c r="L311" s="16">
        <f>D312*F311</f>
        <v>1.5178188375899997E-7</v>
      </c>
      <c r="M311" s="16">
        <f>D312*G311</f>
        <v>8.418320637638998E-6</v>
      </c>
      <c r="X311" s="26"/>
      <c r="Y311" s="26"/>
      <c r="Z311" s="26"/>
      <c r="AA311" s="26"/>
      <c r="AB311" s="26"/>
      <c r="AC311" s="26"/>
      <c r="AD311" s="26"/>
      <c r="AE311" s="26"/>
    </row>
    <row r="312" spans="4:31" x14ac:dyDescent="0.35">
      <c r="D312" s="16">
        <v>8.5752476699999975E-6</v>
      </c>
      <c r="X312" s="26"/>
      <c r="Y312" s="26"/>
      <c r="Z312" s="26"/>
      <c r="AA312" s="26"/>
      <c r="AB312" s="26"/>
      <c r="AC312" s="26"/>
      <c r="AD312" s="26"/>
      <c r="AE312" s="26"/>
    </row>
    <row r="313" spans="4:31" x14ac:dyDescent="0.35">
      <c r="X313" s="26"/>
      <c r="Y313" s="26"/>
      <c r="Z313" s="26"/>
      <c r="AA313" s="26"/>
      <c r="AB313" s="26"/>
      <c r="AC313" s="26"/>
      <c r="AD313" s="26"/>
      <c r="AE313" s="26"/>
    </row>
    <row r="314" spans="4:31" x14ac:dyDescent="0.35">
      <c r="E314">
        <v>1</v>
      </c>
      <c r="F314">
        <v>2</v>
      </c>
      <c r="G314">
        <v>3</v>
      </c>
      <c r="K314">
        <v>1</v>
      </c>
      <c r="L314">
        <v>2</v>
      </c>
      <c r="M314">
        <v>3</v>
      </c>
      <c r="X314" s="26"/>
      <c r="Y314" s="26"/>
      <c r="Z314" s="26"/>
      <c r="AA314" s="26"/>
      <c r="AB314" s="26"/>
      <c r="AC314" s="26"/>
      <c r="AD314" s="26"/>
      <c r="AE314" s="26"/>
    </row>
    <row r="315" spans="4:31" x14ac:dyDescent="0.35">
      <c r="D315">
        <v>1</v>
      </c>
      <c r="E315" s="16">
        <f>$F$2</f>
        <v>0.94640000000000002</v>
      </c>
      <c r="F315" s="16">
        <f>$G$2</f>
        <v>2.6100000000000002E-2</v>
      </c>
      <c r="G315" s="16">
        <f>$H$2</f>
        <v>2.75E-2</v>
      </c>
      <c r="K315" s="16">
        <f>D316*E315</f>
        <v>1.2257823982038836E-3</v>
      </c>
      <c r="L315" s="16">
        <f>D316*F315</f>
        <v>3.3804861150804484E-5</v>
      </c>
      <c r="M315" s="16">
        <f>D316*G315</f>
        <v>3.5618148722112001E-5</v>
      </c>
      <c r="X315" s="26"/>
      <c r="Y315" s="26"/>
      <c r="Z315" s="26"/>
      <c r="AA315" s="26"/>
      <c r="AB315" s="26"/>
      <c r="AC315" s="26"/>
      <c r="AD315" s="26"/>
      <c r="AE315" s="26"/>
    </row>
    <row r="316" spans="4:31" x14ac:dyDescent="0.35">
      <c r="D316" s="16">
        <v>1.2952054080768E-3</v>
      </c>
      <c r="X316" s="26"/>
      <c r="Y316" s="26"/>
      <c r="Z316" s="26"/>
      <c r="AA316" s="26"/>
      <c r="AB316" s="26"/>
      <c r="AC316" s="26"/>
      <c r="AD316" s="26"/>
      <c r="AE316" s="26"/>
    </row>
    <row r="317" spans="4:31" x14ac:dyDescent="0.35">
      <c r="X317" s="26"/>
      <c r="Y317" s="26"/>
      <c r="Z317" s="26"/>
      <c r="AA317" s="26"/>
      <c r="AB317" s="26"/>
      <c r="AC317" s="26"/>
      <c r="AD317" s="26"/>
      <c r="AE317" s="26"/>
    </row>
    <row r="318" spans="4:31" x14ac:dyDescent="0.35">
      <c r="E318">
        <v>1</v>
      </c>
      <c r="F318">
        <v>2</v>
      </c>
      <c r="G318">
        <v>3</v>
      </c>
      <c r="K318">
        <v>1</v>
      </c>
      <c r="L318">
        <v>2</v>
      </c>
      <c r="M318">
        <v>3</v>
      </c>
      <c r="X318" s="26"/>
      <c r="Y318" s="26"/>
      <c r="Z318" s="26"/>
      <c r="AA318" s="26"/>
      <c r="AB318" s="26"/>
      <c r="AC318" s="26"/>
      <c r="AD318" s="26"/>
      <c r="AE318" s="26"/>
    </row>
    <row r="319" spans="4:31" x14ac:dyDescent="0.35">
      <c r="D319">
        <v>2</v>
      </c>
      <c r="E319" s="16">
        <f>$I$2</f>
        <v>0.14080000000000001</v>
      </c>
      <c r="F319" s="16">
        <f>$J$2</f>
        <v>0.32979999999999998</v>
      </c>
      <c r="G319" s="16">
        <f>$K$2</f>
        <v>0.52939999999999998</v>
      </c>
      <c r="K319" s="16">
        <f>D320*E319</f>
        <v>4.2715874358372857E-4</v>
      </c>
      <c r="L319" s="16">
        <f>D320*F319</f>
        <v>1.0005465456954096E-3</v>
      </c>
      <c r="M319" s="16">
        <f>D320*G319</f>
        <v>1.6060926054916613E-3</v>
      </c>
      <c r="X319" s="26"/>
      <c r="Y319" s="26"/>
      <c r="Z319" s="26"/>
      <c r="AA319" s="26"/>
      <c r="AB319" s="26"/>
      <c r="AC319" s="26"/>
      <c r="AD319" s="26"/>
      <c r="AE319" s="26"/>
    </row>
    <row r="320" spans="4:31" x14ac:dyDescent="0.35">
      <c r="D320" s="16">
        <v>3.0337978947707995E-3</v>
      </c>
      <c r="X320" s="26"/>
      <c r="Y320" s="26"/>
      <c r="Z320" s="26"/>
      <c r="AA320" s="26"/>
      <c r="AB320" s="26"/>
      <c r="AC320" s="26"/>
      <c r="AD320" s="26"/>
      <c r="AE320" s="26"/>
    </row>
    <row r="321" spans="4:31" x14ac:dyDescent="0.35">
      <c r="X321" s="26"/>
      <c r="Y321" s="26"/>
      <c r="Z321" s="26"/>
      <c r="AA321" s="26"/>
      <c r="AB321" s="26"/>
      <c r="AC321" s="26"/>
      <c r="AD321" s="26"/>
      <c r="AE321" s="26"/>
    </row>
    <row r="322" spans="4:31" x14ac:dyDescent="0.35">
      <c r="E322">
        <v>1</v>
      </c>
      <c r="F322">
        <v>2</v>
      </c>
      <c r="G322">
        <v>3</v>
      </c>
      <c r="K322">
        <v>1</v>
      </c>
      <c r="L322">
        <v>2</v>
      </c>
      <c r="M322">
        <v>3</v>
      </c>
      <c r="X322" s="26"/>
      <c r="Y322" s="26"/>
      <c r="Z322" s="26"/>
      <c r="AA322" s="26"/>
      <c r="AB322" s="26"/>
      <c r="AC322" s="26"/>
      <c r="AD322" s="26"/>
      <c r="AE322" s="26"/>
    </row>
    <row r="323" spans="4:31" x14ac:dyDescent="0.35">
      <c r="D323">
        <v>3</v>
      </c>
      <c r="E323" s="16">
        <f>$L$2</f>
        <v>5.9999999999999995E-4</v>
      </c>
      <c r="F323" s="16">
        <f>$M$2</f>
        <v>1.77E-2</v>
      </c>
      <c r="G323" s="16">
        <f>$N$2</f>
        <v>0.98170000000000002</v>
      </c>
      <c r="K323" s="16">
        <f>D324*E323</f>
        <v>2.9219392458914394E-6</v>
      </c>
      <c r="L323" s="16">
        <f>D324*F323</f>
        <v>8.619720775379747E-5</v>
      </c>
      <c r="M323" s="16">
        <f>D324*G323</f>
        <v>4.7807795961527103E-3</v>
      </c>
      <c r="X323" s="26"/>
      <c r="Y323" s="26"/>
      <c r="Z323" s="26"/>
      <c r="AA323" s="26"/>
      <c r="AB323" s="26"/>
      <c r="AC323" s="26"/>
      <c r="AD323" s="26"/>
      <c r="AE323" s="26"/>
    </row>
    <row r="324" spans="4:31" x14ac:dyDescent="0.35">
      <c r="D324" s="16">
        <v>4.8698987431523991E-3</v>
      </c>
      <c r="X324" s="26"/>
      <c r="Y324" s="26"/>
      <c r="Z324" s="26"/>
      <c r="AA324" s="26"/>
      <c r="AB324" s="26"/>
      <c r="AC324" s="26"/>
      <c r="AD324" s="26"/>
      <c r="AE324" s="26"/>
    </row>
    <row r="325" spans="4:31" x14ac:dyDescent="0.35">
      <c r="X325" s="26"/>
      <c r="Y325" s="26"/>
      <c r="Z325" s="26"/>
      <c r="AA325" s="26"/>
      <c r="AB325" s="26"/>
      <c r="AC325" s="26"/>
      <c r="AD325" s="26"/>
      <c r="AE325" s="26"/>
    </row>
    <row r="326" spans="4:31" x14ac:dyDescent="0.35">
      <c r="E326">
        <v>1</v>
      </c>
      <c r="F326">
        <v>2</v>
      </c>
      <c r="G326">
        <v>3</v>
      </c>
      <c r="K326">
        <v>1</v>
      </c>
      <c r="L326">
        <v>2</v>
      </c>
      <c r="M326">
        <v>3</v>
      </c>
      <c r="X326" s="26"/>
      <c r="Y326" s="26"/>
      <c r="Z326" s="26"/>
      <c r="AA326" s="26"/>
      <c r="AB326" s="26"/>
      <c r="AC326" s="26"/>
      <c r="AD326" s="26"/>
      <c r="AE326" s="26"/>
    </row>
    <row r="327" spans="4:31" x14ac:dyDescent="0.35">
      <c r="D327">
        <v>1</v>
      </c>
      <c r="E327" s="16">
        <f>$F$2</f>
        <v>0.94640000000000002</v>
      </c>
      <c r="F327" s="16">
        <f>$G$2</f>
        <v>2.6100000000000002E-2</v>
      </c>
      <c r="G327" s="16">
        <f>$H$2</f>
        <v>2.75E-2</v>
      </c>
      <c r="K327" s="16">
        <f>D328*E327</f>
        <v>2.8971267823496539E-4</v>
      </c>
      <c r="L327" s="16">
        <f>D328*F327</f>
        <v>7.989751586995559E-6</v>
      </c>
      <c r="M327" s="16">
        <f>D328*G327</f>
        <v>8.4183206376389997E-6</v>
      </c>
      <c r="X327" s="26"/>
      <c r="Y327" s="26"/>
      <c r="Z327" s="26"/>
      <c r="AA327" s="26"/>
      <c r="AB327" s="26"/>
      <c r="AC327" s="26"/>
      <c r="AD327" s="26"/>
      <c r="AE327" s="26"/>
    </row>
    <row r="328" spans="4:31" x14ac:dyDescent="0.35">
      <c r="D328" s="16">
        <v>3.0612075045959996E-4</v>
      </c>
      <c r="X328" s="26"/>
      <c r="Y328" s="26"/>
      <c r="Z328" s="26"/>
      <c r="AA328" s="26"/>
      <c r="AB328" s="26"/>
      <c r="AC328" s="26"/>
      <c r="AD328" s="26"/>
      <c r="AE328" s="26"/>
    </row>
    <row r="329" spans="4:31" x14ac:dyDescent="0.35">
      <c r="X329" s="26"/>
      <c r="Y329" s="26"/>
      <c r="Z329" s="26"/>
      <c r="AA329" s="26"/>
      <c r="AB329" s="26"/>
      <c r="AC329" s="26"/>
      <c r="AD329" s="26"/>
      <c r="AE329" s="26"/>
    </row>
    <row r="330" spans="4:31" x14ac:dyDescent="0.35">
      <c r="E330">
        <v>1</v>
      </c>
      <c r="F330">
        <v>2</v>
      </c>
      <c r="G330">
        <v>3</v>
      </c>
      <c r="K330">
        <v>1</v>
      </c>
      <c r="L330">
        <v>2</v>
      </c>
      <c r="M330">
        <v>3</v>
      </c>
      <c r="X330" s="26"/>
      <c r="Y330" s="26"/>
      <c r="Z330" s="26"/>
      <c r="AA330" s="26"/>
      <c r="AB330" s="26"/>
      <c r="AC330" s="26"/>
      <c r="AD330" s="26"/>
      <c r="AE330" s="26"/>
    </row>
    <row r="331" spans="4:31" x14ac:dyDescent="0.35">
      <c r="D331">
        <v>2</v>
      </c>
      <c r="E331" s="16">
        <f>$I$2</f>
        <v>0.14080000000000001</v>
      </c>
      <c r="F331" s="16">
        <f>$J$2</f>
        <v>0.32979999999999998</v>
      </c>
      <c r="G331" s="16">
        <f>$K$2</f>
        <v>0.52939999999999998</v>
      </c>
      <c r="K331" s="16">
        <f>D332*E331</f>
        <v>1.2715031491089947E-3</v>
      </c>
      <c r="L331" s="16">
        <f>D332*F331</f>
        <v>2.9782793932964942E-3</v>
      </c>
      <c r="M331" s="16">
        <f>D332*G331</f>
        <v>4.7807795961527112E-3</v>
      </c>
      <c r="X331" s="26"/>
      <c r="Y331" s="26"/>
      <c r="Z331" s="26"/>
      <c r="AA331" s="26"/>
      <c r="AB331" s="26"/>
      <c r="AC331" s="26"/>
      <c r="AD331" s="26"/>
      <c r="AE331" s="26"/>
    </row>
    <row r="332" spans="4:31" x14ac:dyDescent="0.35">
      <c r="D332" s="16">
        <v>9.0305621385582003E-3</v>
      </c>
      <c r="X332" s="26"/>
      <c r="Y332" s="26"/>
      <c r="Z332" s="26"/>
      <c r="AA332" s="26"/>
      <c r="AB332" s="26"/>
      <c r="AC332" s="26"/>
      <c r="AD332" s="26"/>
      <c r="AE332" s="26"/>
    </row>
    <row r="333" spans="4:31" x14ac:dyDescent="0.35">
      <c r="X333" s="26"/>
      <c r="Y333" s="26"/>
      <c r="Z333" s="26"/>
      <c r="AA333" s="26"/>
      <c r="AB333" s="26"/>
      <c r="AC333" s="26"/>
      <c r="AD333" s="26"/>
      <c r="AE333" s="26"/>
    </row>
    <row r="334" spans="4:31" x14ac:dyDescent="0.35">
      <c r="E334">
        <v>1</v>
      </c>
      <c r="F334">
        <v>2</v>
      </c>
      <c r="G334">
        <v>3</v>
      </c>
      <c r="K334">
        <v>1</v>
      </c>
      <c r="L334">
        <v>2</v>
      </c>
      <c r="M334">
        <v>3</v>
      </c>
      <c r="X334" s="26"/>
      <c r="Y334" s="26"/>
      <c r="Z334" s="26"/>
      <c r="AA334" s="26"/>
      <c r="AB334" s="26"/>
      <c r="AC334" s="26"/>
      <c r="AD334" s="26"/>
      <c r="AE334" s="26"/>
    </row>
    <row r="335" spans="4:31" x14ac:dyDescent="0.35">
      <c r="D335">
        <v>3</v>
      </c>
      <c r="E335" s="16">
        <f>$L$2</f>
        <v>5.9999999999999995E-4</v>
      </c>
      <c r="F335" s="16">
        <f>$M$2</f>
        <v>1.77E-2</v>
      </c>
      <c r="G335" s="16">
        <f>$N$2</f>
        <v>0.98170000000000002</v>
      </c>
      <c r="K335" s="16">
        <f>D336*E335</f>
        <v>3.0051874072618931E-4</v>
      </c>
      <c r="L335" s="16">
        <f>D336*F335</f>
        <v>8.8653028514225855E-3</v>
      </c>
      <c r="M335" s="16">
        <f>D336*G335</f>
        <v>0.4916987462848334</v>
      </c>
    </row>
    <row r="336" spans="4:31" x14ac:dyDescent="0.35">
      <c r="D336" s="16">
        <v>0.50086456787698219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A75B-F0C5-473F-9F78-154AF54D30D8}">
  <dimension ref="A1:J45"/>
  <sheetViews>
    <sheetView workbookViewId="0">
      <selection activeCell="A29" sqref="A29"/>
    </sheetView>
  </sheetViews>
  <sheetFormatPr defaultRowHeight="14.5" x14ac:dyDescent="0.35"/>
  <cols>
    <col min="1" max="1" width="13.26953125" bestFit="1" customWidth="1"/>
  </cols>
  <sheetData>
    <row r="1" spans="1:10" x14ac:dyDescent="0.35">
      <c r="A1" s="2" t="s">
        <v>1</v>
      </c>
      <c r="B1" s="28" t="s">
        <v>2</v>
      </c>
      <c r="C1" s="29"/>
      <c r="D1" s="29"/>
      <c r="E1" s="29"/>
      <c r="F1" s="29"/>
      <c r="G1" s="29"/>
      <c r="H1" s="29"/>
      <c r="I1" s="29"/>
      <c r="J1" s="30"/>
    </row>
    <row r="2" spans="1:10" ht="15" thickBot="1" x14ac:dyDescent="0.4">
      <c r="A2" s="3" t="s">
        <v>3</v>
      </c>
      <c r="B2" s="4" t="s">
        <v>4</v>
      </c>
      <c r="C2" s="5" t="s">
        <v>5</v>
      </c>
      <c r="D2" s="5" t="s">
        <v>6</v>
      </c>
      <c r="E2" s="6" t="s">
        <v>7</v>
      </c>
      <c r="F2" s="6" t="s">
        <v>8</v>
      </c>
      <c r="G2" s="6" t="s">
        <v>9</v>
      </c>
      <c r="H2" s="7" t="s">
        <v>10</v>
      </c>
      <c r="I2" s="7" t="s">
        <v>11</v>
      </c>
      <c r="J2" s="8" t="s">
        <v>12</v>
      </c>
    </row>
    <row r="3" spans="1:10" x14ac:dyDescent="0.35">
      <c r="A3" s="1" t="s">
        <v>0</v>
      </c>
      <c r="B3" s="10">
        <v>0.94640000000000002</v>
      </c>
      <c r="C3" s="11">
        <v>2.6100000000000002E-2</v>
      </c>
      <c r="D3" s="11">
        <v>2.75E-2</v>
      </c>
      <c r="E3" s="12">
        <v>0.14080000000000001</v>
      </c>
      <c r="F3" s="12">
        <v>0.32979999999999998</v>
      </c>
      <c r="G3" s="12">
        <v>0.52939999999999998</v>
      </c>
      <c r="H3" s="13">
        <v>5.9999999999999995E-4</v>
      </c>
      <c r="I3" s="13">
        <v>1.77E-2</v>
      </c>
      <c r="J3" s="14">
        <v>0.98170000000000002</v>
      </c>
    </row>
    <row r="11" spans="1:10" x14ac:dyDescent="0.35">
      <c r="E11" t="s">
        <v>13</v>
      </c>
    </row>
    <row r="12" spans="1:10" x14ac:dyDescent="0.35">
      <c r="E12">
        <v>1</v>
      </c>
    </row>
    <row r="13" spans="1:10" x14ac:dyDescent="0.35">
      <c r="E13" s="15">
        <f>$B$18*C14</f>
        <v>5.6784000000000001E-4</v>
      </c>
    </row>
    <row r="14" spans="1:10" x14ac:dyDescent="0.35">
      <c r="C14" s="15">
        <f>B3</f>
        <v>0.94640000000000002</v>
      </c>
      <c r="E14" s="15"/>
    </row>
    <row r="15" spans="1:10" x14ac:dyDescent="0.35">
      <c r="C15" s="15"/>
      <c r="E15" s="15"/>
      <c r="I15">
        <v>1</v>
      </c>
    </row>
    <row r="16" spans="1:10" x14ac:dyDescent="0.35">
      <c r="C16" s="15"/>
      <c r="E16" s="17">
        <v>2</v>
      </c>
      <c r="I16" s="16">
        <f>E13+E24+E37</f>
        <v>3.6490200000000002E-3</v>
      </c>
    </row>
    <row r="17" spans="1:9" x14ac:dyDescent="0.35">
      <c r="B17">
        <v>1</v>
      </c>
      <c r="C17" s="15">
        <f>C3</f>
        <v>2.6100000000000002E-2</v>
      </c>
      <c r="E17" s="15">
        <f>B18*C17</f>
        <v>1.5659999999999999E-5</v>
      </c>
      <c r="I17">
        <v>2</v>
      </c>
    </row>
    <row r="18" spans="1:9" x14ac:dyDescent="0.35">
      <c r="B18" s="15">
        <f>H3</f>
        <v>5.9999999999999995E-4</v>
      </c>
      <c r="C18" s="15"/>
      <c r="E18" s="15"/>
      <c r="I18" s="16">
        <f>E17+E27+E40</f>
        <v>2.322921E-2</v>
      </c>
    </row>
    <row r="19" spans="1:9" x14ac:dyDescent="0.35">
      <c r="C19" s="15"/>
      <c r="E19" s="17">
        <v>3</v>
      </c>
      <c r="I19">
        <v>3</v>
      </c>
    </row>
    <row r="20" spans="1:9" x14ac:dyDescent="0.35">
      <c r="C20" s="15">
        <f>D3</f>
        <v>2.75E-2</v>
      </c>
      <c r="E20" s="15">
        <f>B18*C20</f>
        <v>1.6499999999999998E-5</v>
      </c>
      <c r="I20" s="16">
        <f>E20+E31+E44</f>
        <v>0.97312177</v>
      </c>
    </row>
    <row r="21" spans="1:9" x14ac:dyDescent="0.35">
      <c r="C21" s="15"/>
    </row>
    <row r="22" spans="1:9" x14ac:dyDescent="0.35">
      <c r="C22" s="15"/>
    </row>
    <row r="23" spans="1:9" x14ac:dyDescent="0.35">
      <c r="C23" s="15"/>
      <c r="E23">
        <v>1</v>
      </c>
    </row>
    <row r="24" spans="1:9" x14ac:dyDescent="0.35">
      <c r="C24" s="15">
        <f>E3</f>
        <v>0.14080000000000001</v>
      </c>
      <c r="E24" s="16">
        <f>B28*C24</f>
        <v>2.4921600000000002E-3</v>
      </c>
      <c r="H24" t="s">
        <v>14</v>
      </c>
      <c r="I24" s="16">
        <f>I16+I18+I20</f>
        <v>1</v>
      </c>
    </row>
    <row r="25" spans="1:9" x14ac:dyDescent="0.35">
      <c r="C25" s="15"/>
    </row>
    <row r="26" spans="1:9" x14ac:dyDescent="0.35">
      <c r="C26" s="15"/>
      <c r="E26">
        <v>2</v>
      </c>
    </row>
    <row r="27" spans="1:9" x14ac:dyDescent="0.35">
      <c r="B27">
        <v>2</v>
      </c>
      <c r="C27" s="15">
        <f>F3</f>
        <v>0.32979999999999998</v>
      </c>
      <c r="E27" s="16">
        <f>B28*C27</f>
        <v>5.83746E-3</v>
      </c>
    </row>
    <row r="28" spans="1:9" x14ac:dyDescent="0.35">
      <c r="A28" t="s">
        <v>24</v>
      </c>
      <c r="B28" s="15">
        <f>I3</f>
        <v>1.77E-2</v>
      </c>
      <c r="C28" s="15"/>
    </row>
    <row r="29" spans="1:9" x14ac:dyDescent="0.35">
      <c r="C29" s="15"/>
    </row>
    <row r="30" spans="1:9" x14ac:dyDescent="0.35">
      <c r="C30" s="15"/>
      <c r="E30">
        <v>3</v>
      </c>
    </row>
    <row r="31" spans="1:9" x14ac:dyDescent="0.35">
      <c r="C31" s="15">
        <f>G3</f>
        <v>0.52939999999999998</v>
      </c>
      <c r="E31" s="16">
        <f>C31*B28</f>
        <v>9.3703799999999993E-3</v>
      </c>
    </row>
    <row r="32" spans="1:9" x14ac:dyDescent="0.35">
      <c r="C32" s="15"/>
    </row>
    <row r="33" spans="2:5" x14ac:dyDescent="0.35">
      <c r="C33" s="15"/>
    </row>
    <row r="34" spans="2:5" x14ac:dyDescent="0.35">
      <c r="C34" s="15"/>
    </row>
    <row r="35" spans="2:5" x14ac:dyDescent="0.35">
      <c r="C35" s="15"/>
    </row>
    <row r="36" spans="2:5" x14ac:dyDescent="0.35">
      <c r="C36" s="15"/>
      <c r="E36">
        <v>1</v>
      </c>
    </row>
    <row r="37" spans="2:5" x14ac:dyDescent="0.35">
      <c r="C37" s="15">
        <f>H3</f>
        <v>5.9999999999999995E-4</v>
      </c>
      <c r="E37" s="16">
        <f>B41*C37</f>
        <v>5.8901999999999999E-4</v>
      </c>
    </row>
    <row r="38" spans="2:5" x14ac:dyDescent="0.35">
      <c r="C38" s="15"/>
    </row>
    <row r="39" spans="2:5" x14ac:dyDescent="0.35">
      <c r="C39" s="15"/>
      <c r="E39">
        <v>2</v>
      </c>
    </row>
    <row r="40" spans="2:5" x14ac:dyDescent="0.35">
      <c r="B40">
        <v>3</v>
      </c>
      <c r="C40" s="15">
        <f>I3</f>
        <v>1.77E-2</v>
      </c>
      <c r="E40" s="16">
        <f>B41*C40</f>
        <v>1.737609E-2</v>
      </c>
    </row>
    <row r="41" spans="2:5" x14ac:dyDescent="0.35">
      <c r="B41" s="15">
        <f>J3</f>
        <v>0.98170000000000002</v>
      </c>
      <c r="C41" s="15"/>
    </row>
    <row r="42" spans="2:5" x14ac:dyDescent="0.35">
      <c r="C42" s="15"/>
    </row>
    <row r="43" spans="2:5" x14ac:dyDescent="0.35">
      <c r="C43" s="15"/>
      <c r="E43">
        <v>3</v>
      </c>
    </row>
    <row r="44" spans="2:5" x14ac:dyDescent="0.35">
      <c r="C44" s="15">
        <f>J3</f>
        <v>0.98170000000000002</v>
      </c>
      <c r="E44" s="16">
        <f>B41*C44</f>
        <v>0.96373489000000001</v>
      </c>
    </row>
    <row r="45" spans="2:5" x14ac:dyDescent="0.35">
      <c r="C45" s="15"/>
    </row>
  </sheetData>
  <mergeCells count="1">
    <mergeCell ref="B1:J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9E6-111E-4EA7-A2DF-3E10130965D6}">
  <dimension ref="A1:R47"/>
  <sheetViews>
    <sheetView topLeftCell="B1" zoomScale="70" zoomScaleNormal="70" workbookViewId="0">
      <selection activeCell="N45" sqref="N45"/>
    </sheetView>
  </sheetViews>
  <sheetFormatPr defaultRowHeight="14.5" x14ac:dyDescent="0.35"/>
  <cols>
    <col min="5" max="5" width="13.36328125" customWidth="1"/>
  </cols>
  <sheetData>
    <row r="1" spans="1:18" ht="15" thickBot="1" x14ac:dyDescent="0.4">
      <c r="A1">
        <v>1</v>
      </c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1:18" x14ac:dyDescent="0.35">
      <c r="B2" s="16"/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3" spans="1:18" x14ac:dyDescent="0.35">
      <c r="P3" s="16"/>
    </row>
    <row r="4" spans="1:18" x14ac:dyDescent="0.35">
      <c r="A4">
        <v>1</v>
      </c>
      <c r="P4" s="16"/>
    </row>
    <row r="5" spans="1:18" x14ac:dyDescent="0.35">
      <c r="B5" s="16"/>
      <c r="P5" s="19"/>
      <c r="Q5" s="19"/>
      <c r="R5" s="19"/>
    </row>
    <row r="6" spans="1:18" x14ac:dyDescent="0.35">
      <c r="A6">
        <v>1</v>
      </c>
      <c r="O6" s="20">
        <v>1</v>
      </c>
      <c r="P6" s="21">
        <v>2</v>
      </c>
      <c r="Q6" s="22">
        <v>3</v>
      </c>
      <c r="R6" s="22" t="s">
        <v>14</v>
      </c>
    </row>
    <row r="7" spans="1:18" x14ac:dyDescent="0.35">
      <c r="B7" s="16"/>
      <c r="O7" s="23">
        <f>J15+J18+J21+J26+J29+J32+J37+J40+J43</f>
        <v>7.3079783580000009E-3</v>
      </c>
      <c r="P7" s="23">
        <f t="shared" ref="P7:Q7" si="0">K15+K18+K21+K26+K29+K32+K37+K40+K43</f>
        <v>2.4980488209E-2</v>
      </c>
      <c r="Q7" s="23">
        <f t="shared" si="0"/>
        <v>0.96771153343299998</v>
      </c>
      <c r="R7" s="23">
        <f>O7+P7+Q7</f>
        <v>1</v>
      </c>
    </row>
    <row r="8" spans="1:18" x14ac:dyDescent="0.35">
      <c r="P8" s="9"/>
    </row>
    <row r="9" spans="1:18" x14ac:dyDescent="0.35">
      <c r="P9" s="9"/>
    </row>
    <row r="10" spans="1:18" x14ac:dyDescent="0.35">
      <c r="P10" s="16"/>
    </row>
    <row r="14" spans="1:18" x14ac:dyDescent="0.35">
      <c r="E14">
        <v>1</v>
      </c>
      <c r="F14">
        <v>2</v>
      </c>
      <c r="G14">
        <v>3</v>
      </c>
      <c r="J14">
        <v>1</v>
      </c>
      <c r="K14">
        <v>2</v>
      </c>
      <c r="L14">
        <v>3</v>
      </c>
      <c r="P14" s="16"/>
    </row>
    <row r="15" spans="1:18" x14ac:dyDescent="0.35">
      <c r="D15">
        <v>1</v>
      </c>
      <c r="E15" s="16">
        <f>$F$2</f>
        <v>0.94640000000000002</v>
      </c>
      <c r="F15" s="16">
        <f>$G$2</f>
        <v>2.6100000000000002E-2</v>
      </c>
      <c r="G15" s="16">
        <f>$H$2</f>
        <v>2.75E-2</v>
      </c>
      <c r="J15" s="16">
        <f>D16*E15</f>
        <v>5.3740377600000003E-4</v>
      </c>
      <c r="K15" s="16">
        <f>D16*F15</f>
        <v>1.4820624000000001E-5</v>
      </c>
      <c r="L15" s="16">
        <f>D16*G15</f>
        <v>1.56156E-5</v>
      </c>
    </row>
    <row r="16" spans="1:18" x14ac:dyDescent="0.35">
      <c r="D16" s="16">
        <v>5.6784000000000001E-4</v>
      </c>
      <c r="Q16" s="16"/>
    </row>
    <row r="17" spans="2:17" x14ac:dyDescent="0.35">
      <c r="E17">
        <v>1</v>
      </c>
      <c r="F17">
        <v>2</v>
      </c>
      <c r="G17">
        <v>3</v>
      </c>
      <c r="J17">
        <v>1</v>
      </c>
      <c r="K17">
        <v>2</v>
      </c>
      <c r="L17">
        <v>3</v>
      </c>
      <c r="P17" s="16"/>
      <c r="Q17" s="16"/>
    </row>
    <row r="18" spans="2:17" x14ac:dyDescent="0.35">
      <c r="D18">
        <v>2</v>
      </c>
      <c r="E18" s="16">
        <f>$I$2</f>
        <v>0.14080000000000001</v>
      </c>
      <c r="F18" s="16">
        <f>$J$2</f>
        <v>0.32979999999999998</v>
      </c>
      <c r="G18" s="16">
        <f>$K$2</f>
        <v>0.52939999999999998</v>
      </c>
      <c r="J18" s="16">
        <f>D19*E18</f>
        <v>2.2049280000000002E-6</v>
      </c>
      <c r="K18" s="16">
        <f>D19*F18</f>
        <v>5.1646679999999998E-6</v>
      </c>
      <c r="L18" s="16">
        <f>D19*G18</f>
        <v>8.2904039999999987E-6</v>
      </c>
      <c r="Q18" s="16"/>
    </row>
    <row r="19" spans="2:17" x14ac:dyDescent="0.35">
      <c r="D19" s="16">
        <v>1.5659999999999999E-5</v>
      </c>
      <c r="J19" s="16"/>
      <c r="K19" s="16"/>
      <c r="L19" s="16"/>
      <c r="Q19" s="24"/>
    </row>
    <row r="20" spans="2:17" x14ac:dyDescent="0.35">
      <c r="E20">
        <v>1</v>
      </c>
      <c r="F20">
        <v>2</v>
      </c>
      <c r="G20">
        <v>3</v>
      </c>
      <c r="J20">
        <v>1</v>
      </c>
      <c r="K20">
        <v>2</v>
      </c>
      <c r="L20">
        <v>3</v>
      </c>
      <c r="Q20" s="16"/>
    </row>
    <row r="21" spans="2:17" x14ac:dyDescent="0.35">
      <c r="D21">
        <v>3</v>
      </c>
      <c r="E21" s="16">
        <f>$L$2</f>
        <v>5.9999999999999995E-4</v>
      </c>
      <c r="F21" s="16">
        <f>$M$2</f>
        <v>1.77E-2</v>
      </c>
      <c r="G21" s="16">
        <f>$N$2</f>
        <v>0.98170000000000002</v>
      </c>
      <c r="J21" s="16">
        <f>D22*E21</f>
        <v>9.8999999999999977E-9</v>
      </c>
      <c r="K21" s="16">
        <f>D22*F21</f>
        <v>2.9204999999999997E-7</v>
      </c>
      <c r="L21" s="16">
        <f>D22*G21</f>
        <v>1.619805E-5</v>
      </c>
      <c r="P21" s="16"/>
      <c r="Q21" s="16"/>
    </row>
    <row r="22" spans="2:17" x14ac:dyDescent="0.35">
      <c r="D22" s="16">
        <v>1.6499999999999998E-5</v>
      </c>
      <c r="J22" s="16"/>
      <c r="K22" s="16"/>
      <c r="L22" s="16"/>
      <c r="Q22" s="24"/>
    </row>
    <row r="23" spans="2:17" x14ac:dyDescent="0.35">
      <c r="Q23" s="16"/>
    </row>
    <row r="25" spans="2:17" x14ac:dyDescent="0.35">
      <c r="B25" t="s">
        <v>23</v>
      </c>
      <c r="E25">
        <v>1</v>
      </c>
      <c r="F25">
        <v>2</v>
      </c>
      <c r="G25">
        <v>3</v>
      </c>
      <c r="J25">
        <v>1</v>
      </c>
      <c r="K25">
        <v>2</v>
      </c>
      <c r="L25">
        <v>3</v>
      </c>
    </row>
    <row r="26" spans="2:17" x14ac:dyDescent="0.35">
      <c r="D26">
        <v>1</v>
      </c>
      <c r="E26" s="16">
        <f>$F$2</f>
        <v>0.94640000000000002</v>
      </c>
      <c r="F26" s="16">
        <f>$G$2</f>
        <v>2.6100000000000002E-2</v>
      </c>
      <c r="G26" s="16">
        <f>$H$2</f>
        <v>2.75E-2</v>
      </c>
      <c r="J26" s="16">
        <f>D27*E26</f>
        <v>2.3585802240000003E-3</v>
      </c>
      <c r="K26" s="16">
        <f>D27*F26</f>
        <v>6.5045376000000014E-5</v>
      </c>
      <c r="L26" s="16">
        <f>D27*G26</f>
        <v>6.8534400000000006E-5</v>
      </c>
    </row>
    <row r="27" spans="2:17" x14ac:dyDescent="0.35">
      <c r="D27" s="16">
        <v>2.4921600000000002E-3</v>
      </c>
      <c r="P27" s="16"/>
      <c r="Q27" s="16"/>
    </row>
    <row r="28" spans="2:17" x14ac:dyDescent="0.35">
      <c r="E28">
        <v>1</v>
      </c>
      <c r="F28">
        <v>2</v>
      </c>
      <c r="G28">
        <v>3</v>
      </c>
      <c r="J28">
        <v>1</v>
      </c>
      <c r="K28">
        <v>2</v>
      </c>
      <c r="L28">
        <v>3</v>
      </c>
    </row>
    <row r="29" spans="2:17" x14ac:dyDescent="0.35">
      <c r="D29">
        <v>2</v>
      </c>
      <c r="E29" s="16">
        <f>$I$2</f>
        <v>0.14080000000000001</v>
      </c>
      <c r="F29" s="16">
        <f>$J$2</f>
        <v>0.32979999999999998</v>
      </c>
      <c r="G29" s="16">
        <f>$K$2</f>
        <v>0.52939999999999998</v>
      </c>
      <c r="J29" s="16">
        <f>D30*E29</f>
        <v>8.2191436800000003E-4</v>
      </c>
      <c r="K29" s="16">
        <f>D30*F29</f>
        <v>1.9251943079999999E-3</v>
      </c>
      <c r="L29" s="16">
        <f>D30*G29</f>
        <v>3.0903513239999999E-3</v>
      </c>
    </row>
    <row r="30" spans="2:17" x14ac:dyDescent="0.35">
      <c r="D30" s="16">
        <v>5.83746E-3</v>
      </c>
      <c r="J30" s="16"/>
      <c r="K30" s="16"/>
      <c r="L30" s="16"/>
      <c r="P30" s="16"/>
      <c r="Q30" s="16"/>
    </row>
    <row r="31" spans="2:17" x14ac:dyDescent="0.35">
      <c r="E31">
        <v>1</v>
      </c>
      <c r="F31">
        <v>2</v>
      </c>
      <c r="G31">
        <v>3</v>
      </c>
      <c r="J31">
        <v>1</v>
      </c>
      <c r="K31">
        <v>2</v>
      </c>
      <c r="L31">
        <v>3</v>
      </c>
    </row>
    <row r="32" spans="2:17" x14ac:dyDescent="0.35">
      <c r="D32">
        <v>3</v>
      </c>
      <c r="E32" s="16">
        <f>$L$2</f>
        <v>5.9999999999999995E-4</v>
      </c>
      <c r="F32" s="16">
        <f>$M$2</f>
        <v>1.77E-2</v>
      </c>
      <c r="G32" s="16">
        <f>$N$2</f>
        <v>0.98170000000000002</v>
      </c>
      <c r="J32" s="16">
        <f>D33*E32</f>
        <v>5.6222279999999992E-6</v>
      </c>
      <c r="K32" s="16">
        <f>D33*F32</f>
        <v>1.6585572599999999E-4</v>
      </c>
      <c r="L32" s="16">
        <f>D33*G32</f>
        <v>9.1989020459999991E-3</v>
      </c>
    </row>
    <row r="33" spans="4:17" x14ac:dyDescent="0.35">
      <c r="D33" s="16">
        <v>9.3703799999999993E-3</v>
      </c>
    </row>
    <row r="34" spans="4:17" x14ac:dyDescent="0.35">
      <c r="P34" s="16"/>
      <c r="Q34" s="16"/>
    </row>
    <row r="36" spans="4:17" x14ac:dyDescent="0.35">
      <c r="E36">
        <v>1</v>
      </c>
      <c r="F36">
        <v>2</v>
      </c>
      <c r="G36">
        <v>3</v>
      </c>
      <c r="J36">
        <v>1</v>
      </c>
      <c r="K36">
        <v>2</v>
      </c>
      <c r="L36">
        <v>3</v>
      </c>
    </row>
    <row r="37" spans="4:17" x14ac:dyDescent="0.35">
      <c r="D37">
        <v>1</v>
      </c>
      <c r="E37" s="16">
        <f>$F$2</f>
        <v>0.94640000000000002</v>
      </c>
      <c r="F37" s="16">
        <f>$G$2</f>
        <v>2.6100000000000002E-2</v>
      </c>
      <c r="G37" s="16">
        <f>$H$2</f>
        <v>2.75E-2</v>
      </c>
      <c r="J37" s="16">
        <f>D38*E37</f>
        <v>5.5744852800000005E-4</v>
      </c>
      <c r="K37" s="16">
        <f>D38*F37</f>
        <v>1.5373422000000001E-5</v>
      </c>
      <c r="L37" s="16">
        <f>D38*G37</f>
        <v>1.619805E-5</v>
      </c>
    </row>
    <row r="38" spans="4:17" x14ac:dyDescent="0.35">
      <c r="D38" s="16">
        <v>5.8901999999999999E-4</v>
      </c>
    </row>
    <row r="39" spans="4:17" x14ac:dyDescent="0.35">
      <c r="E39">
        <v>1</v>
      </c>
      <c r="F39">
        <v>2</v>
      </c>
      <c r="G39">
        <v>3</v>
      </c>
      <c r="J39">
        <v>1</v>
      </c>
      <c r="K39">
        <v>2</v>
      </c>
      <c r="L39">
        <v>3</v>
      </c>
    </row>
    <row r="40" spans="4:17" x14ac:dyDescent="0.35">
      <c r="D40">
        <v>2</v>
      </c>
      <c r="E40" s="16">
        <f>$I$2</f>
        <v>0.14080000000000001</v>
      </c>
      <c r="F40" s="16">
        <f>$J$2</f>
        <v>0.32979999999999998</v>
      </c>
      <c r="G40" s="16">
        <f>$K$2</f>
        <v>0.52939999999999998</v>
      </c>
      <c r="J40" s="16">
        <f>D41*E40</f>
        <v>2.446553472E-3</v>
      </c>
      <c r="K40" s="16">
        <f>D41*F40</f>
        <v>5.7306344819999999E-3</v>
      </c>
      <c r="L40" s="16">
        <f>D41*G40</f>
        <v>9.1989020459999991E-3</v>
      </c>
      <c r="Q40" s="16"/>
    </row>
    <row r="41" spans="4:17" x14ac:dyDescent="0.35">
      <c r="D41" s="16">
        <v>1.737609E-2</v>
      </c>
      <c r="J41" s="16"/>
      <c r="K41" s="16"/>
      <c r="L41" s="16"/>
    </row>
    <row r="42" spans="4:17" x14ac:dyDescent="0.35">
      <c r="E42">
        <v>1</v>
      </c>
      <c r="F42">
        <v>2</v>
      </c>
      <c r="G42">
        <v>3</v>
      </c>
      <c r="J42">
        <v>1</v>
      </c>
      <c r="K42">
        <v>2</v>
      </c>
      <c r="L42">
        <v>3</v>
      </c>
    </row>
    <row r="43" spans="4:17" x14ac:dyDescent="0.35">
      <c r="D43">
        <v>3</v>
      </c>
      <c r="E43" s="16">
        <f>$L$2</f>
        <v>5.9999999999999995E-4</v>
      </c>
      <c r="F43" s="16">
        <f>$M$2</f>
        <v>1.77E-2</v>
      </c>
      <c r="G43" s="16">
        <f>$N$2</f>
        <v>0.98170000000000002</v>
      </c>
      <c r="J43" s="16">
        <f>D44*E43</f>
        <v>5.78240934E-4</v>
      </c>
      <c r="K43" s="16">
        <f>D44*F43</f>
        <v>1.7058107552999999E-2</v>
      </c>
      <c r="L43" s="16">
        <f>D44*G43</f>
        <v>0.94609854151299999</v>
      </c>
      <c r="Q43" s="16"/>
    </row>
    <row r="44" spans="4:17" x14ac:dyDescent="0.35">
      <c r="D44" s="16">
        <v>0.96373489000000001</v>
      </c>
    </row>
    <row r="47" spans="4:17" x14ac:dyDescent="0.35">
      <c r="Q47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16FE-3C84-4771-8D3D-A72055FF4EB5}">
  <dimension ref="A1:AA115"/>
  <sheetViews>
    <sheetView zoomScale="55" zoomScaleNormal="55" workbookViewId="0">
      <selection activeCell="AT90" sqref="AT90"/>
    </sheetView>
  </sheetViews>
  <sheetFormatPr defaultRowHeight="14.5" x14ac:dyDescent="0.35"/>
  <cols>
    <col min="5" max="5" width="13.26953125" bestFit="1" customWidth="1"/>
  </cols>
  <sheetData>
    <row r="1" spans="4:27" ht="15" thickBot="1" x14ac:dyDescent="0.4"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4:27" x14ac:dyDescent="0.35"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8" spans="4:27" x14ac:dyDescent="0.35">
      <c r="L8" s="16"/>
      <c r="M8" s="16"/>
      <c r="N8" s="16"/>
    </row>
    <row r="9" spans="4:27" x14ac:dyDescent="0.35">
      <c r="E9">
        <v>1</v>
      </c>
      <c r="F9">
        <v>2</v>
      </c>
      <c r="G9">
        <v>3</v>
      </c>
      <c r="K9">
        <v>1</v>
      </c>
      <c r="L9">
        <v>2</v>
      </c>
      <c r="M9">
        <v>3</v>
      </c>
      <c r="P9">
        <v>1</v>
      </c>
      <c r="Q9" s="19">
        <v>2</v>
      </c>
      <c r="R9" s="19">
        <v>3</v>
      </c>
      <c r="S9" t="s">
        <v>14</v>
      </c>
    </row>
    <row r="10" spans="4:27" x14ac:dyDescent="0.35">
      <c r="D10">
        <v>1</v>
      </c>
      <c r="E10" s="16">
        <f>$F$2</f>
        <v>0.94640000000000002</v>
      </c>
      <c r="F10" s="16">
        <f>$G$2</f>
        <v>2.6100000000000002E-2</v>
      </c>
      <c r="G10" s="16">
        <f>$H$2</f>
        <v>2.75E-2</v>
      </c>
      <c r="K10" s="16">
        <f>E10*D11</f>
        <v>5.0859893360640006E-4</v>
      </c>
      <c r="L10" s="16">
        <f>D11*F10</f>
        <v>1.4026238553600003E-5</v>
      </c>
      <c r="M10" s="16">
        <f>D11*G10</f>
        <v>1.4778603840000001E-5</v>
      </c>
      <c r="P10" s="16">
        <f>K10+K14+K18+K22+K26+K30+K34+K38+K42+K46+K50+K54+K58+K62+K66+K70+K74+K78+K82+K86+K90+K94+K98+K102+K106+K110+K114</f>
        <v>1.1016290414698199E-2</v>
      </c>
      <c r="Q10" s="16">
        <f>L10+L14+L18+L22+L26+L30+L34+L38+L42+L46+L50+L54+L58+L62+L66+L70+L74+L78+L82+L86+L90+L94+L98+L102+L106+L110+L114</f>
        <v>2.5557483176096098E-2</v>
      </c>
      <c r="R10" s="16">
        <f>M10+M14+M18+M22+M26+M30+M34+M38+M42+M46+M50+M54+M58+M62+M66+M70+M74+M78+M82+M86+M90+M94+M98+M102+M106+M110+M114</f>
        <v>0.96341235155920568</v>
      </c>
      <c r="S10" s="16">
        <f>P10+Q10+R10</f>
        <v>0.99998612514999996</v>
      </c>
    </row>
    <row r="11" spans="4:27" x14ac:dyDescent="0.35">
      <c r="D11" s="16">
        <v>5.3740377600000003E-4</v>
      </c>
      <c r="Q11" s="16"/>
    </row>
    <row r="12" spans="4:27" x14ac:dyDescent="0.35">
      <c r="L12" s="16"/>
      <c r="M12" s="16"/>
      <c r="N12" s="16"/>
    </row>
    <row r="13" spans="4:27" x14ac:dyDescent="0.35">
      <c r="E13">
        <v>1</v>
      </c>
      <c r="F13">
        <v>2</v>
      </c>
      <c r="G13">
        <v>3</v>
      </c>
      <c r="K13">
        <v>1</v>
      </c>
      <c r="L13">
        <v>2</v>
      </c>
      <c r="M13">
        <v>3</v>
      </c>
    </row>
    <row r="14" spans="4:27" x14ac:dyDescent="0.35">
      <c r="D14">
        <v>2</v>
      </c>
      <c r="E14" s="16">
        <f>$I$2</f>
        <v>0.14080000000000001</v>
      </c>
      <c r="F14" s="16">
        <f>$J$2</f>
        <v>0.32979999999999998</v>
      </c>
      <c r="G14" s="16">
        <f>$K$2</f>
        <v>0.52939999999999998</v>
      </c>
      <c r="K14" s="16">
        <f>D15*E14</f>
        <v>2.0867438592000004E-6</v>
      </c>
      <c r="L14" s="16">
        <f>D15*F14</f>
        <v>4.8878417951999998E-6</v>
      </c>
      <c r="M14" s="16">
        <f>D15*G14</f>
        <v>7.8460383455999996E-6</v>
      </c>
    </row>
    <row r="15" spans="4:27" x14ac:dyDescent="0.35">
      <c r="D15" s="16">
        <v>1.4820624000000001E-5</v>
      </c>
      <c r="L15" s="16"/>
      <c r="M15" s="16"/>
      <c r="N15" s="16"/>
      <c r="Y15" s="16"/>
      <c r="Z15" s="16"/>
      <c r="AA15" s="16"/>
    </row>
    <row r="17" spans="4:27" x14ac:dyDescent="0.35">
      <c r="E17">
        <v>1</v>
      </c>
      <c r="F17">
        <v>2</v>
      </c>
      <c r="G17">
        <v>3</v>
      </c>
      <c r="K17">
        <v>1</v>
      </c>
      <c r="L17">
        <v>2</v>
      </c>
      <c r="M17">
        <v>3</v>
      </c>
    </row>
    <row r="18" spans="4:27" x14ac:dyDescent="0.35">
      <c r="D18">
        <v>3</v>
      </c>
      <c r="E18" s="16">
        <f>$L$2</f>
        <v>5.9999999999999995E-4</v>
      </c>
      <c r="F18" s="16">
        <f>$M$2</f>
        <v>1.77E-2</v>
      </c>
      <c r="G18" s="16">
        <f>$N$2</f>
        <v>0.98170000000000002</v>
      </c>
      <c r="K18" s="16">
        <f>D19*E18</f>
        <v>9.36936E-9</v>
      </c>
      <c r="L18" s="16">
        <f>D19*F18</f>
        <v>2.7639612000000002E-7</v>
      </c>
      <c r="M18" s="16">
        <f>D19*G18</f>
        <v>1.5329834520000001E-5</v>
      </c>
      <c r="Y18" s="16"/>
      <c r="Z18" s="16"/>
      <c r="AA18" s="16"/>
    </row>
    <row r="19" spans="4:27" x14ac:dyDescent="0.35">
      <c r="D19" s="16">
        <v>1.56156E-5</v>
      </c>
      <c r="Y19" s="16"/>
      <c r="Z19" s="16"/>
      <c r="AA19" s="16"/>
    </row>
    <row r="21" spans="4:27" x14ac:dyDescent="0.35">
      <c r="E21">
        <v>1</v>
      </c>
      <c r="F21">
        <v>2</v>
      </c>
      <c r="G21">
        <v>3</v>
      </c>
      <c r="K21">
        <v>1</v>
      </c>
      <c r="L21">
        <v>2</v>
      </c>
      <c r="M21">
        <v>3</v>
      </c>
      <c r="Y21" s="16"/>
      <c r="Z21" s="16"/>
      <c r="AA21" s="16"/>
    </row>
    <row r="22" spans="4:27" x14ac:dyDescent="0.35">
      <c r="D22">
        <v>1</v>
      </c>
      <c r="E22" s="16">
        <f>$F$2</f>
        <v>0.94640000000000002</v>
      </c>
      <c r="F22" s="16">
        <f>$G$2</f>
        <v>2.6100000000000002E-2</v>
      </c>
      <c r="G22" s="16">
        <f>$H$2</f>
        <v>2.75E-2</v>
      </c>
      <c r="K22" s="16">
        <f>D23*E22</f>
        <v>2.0867438592000004E-6</v>
      </c>
      <c r="L22" s="16">
        <f>D23*F22</f>
        <v>5.7548620800000006E-8</v>
      </c>
      <c r="M22" s="16">
        <f>D23*G22</f>
        <v>6.0635520000000007E-8</v>
      </c>
      <c r="Y22" s="16"/>
      <c r="Z22" s="16"/>
      <c r="AA22" s="16"/>
    </row>
    <row r="23" spans="4:27" x14ac:dyDescent="0.35">
      <c r="D23" s="16">
        <v>2.2049280000000002E-6</v>
      </c>
      <c r="L23" s="16"/>
      <c r="M23" s="16"/>
      <c r="N23" s="16"/>
    </row>
    <row r="25" spans="4:27" x14ac:dyDescent="0.35">
      <c r="E25">
        <v>1</v>
      </c>
      <c r="F25">
        <v>2</v>
      </c>
      <c r="G25">
        <v>3</v>
      </c>
      <c r="K25">
        <v>1</v>
      </c>
      <c r="L25">
        <v>2</v>
      </c>
      <c r="M25">
        <v>3</v>
      </c>
    </row>
    <row r="26" spans="4:27" x14ac:dyDescent="0.35">
      <c r="D26">
        <v>2</v>
      </c>
      <c r="E26" s="16">
        <f>$I$2</f>
        <v>0.14080000000000001</v>
      </c>
      <c r="F26" s="16">
        <f>$J$2</f>
        <v>0.32979999999999998</v>
      </c>
      <c r="G26" s="16">
        <f>$K$2</f>
        <v>0.52939999999999998</v>
      </c>
      <c r="K26" s="16">
        <f>D27*E26</f>
        <v>7.2718525440000006E-7</v>
      </c>
      <c r="L26" s="16">
        <f>D27*F26</f>
        <v>1.7033075063999999E-6</v>
      </c>
      <c r="M26" s="16">
        <f>D27*G26</f>
        <v>2.7341752391999998E-6</v>
      </c>
      <c r="Y26" s="16"/>
      <c r="Z26" s="16"/>
      <c r="AA26" s="16"/>
    </row>
    <row r="27" spans="4:27" x14ac:dyDescent="0.35">
      <c r="D27" s="16">
        <v>5.1646679999999998E-6</v>
      </c>
    </row>
    <row r="29" spans="4:27" x14ac:dyDescent="0.35">
      <c r="E29">
        <v>1</v>
      </c>
      <c r="F29">
        <v>2</v>
      </c>
      <c r="G29">
        <v>3</v>
      </c>
      <c r="K29">
        <v>1</v>
      </c>
      <c r="L29">
        <v>2</v>
      </c>
      <c r="M29">
        <v>3</v>
      </c>
      <c r="Y29" s="16"/>
      <c r="Z29" s="16"/>
      <c r="AA29" s="16"/>
    </row>
    <row r="30" spans="4:27" x14ac:dyDescent="0.35">
      <c r="D30">
        <v>3</v>
      </c>
      <c r="E30" s="16">
        <f>$L$2</f>
        <v>5.9999999999999995E-4</v>
      </c>
      <c r="F30" s="16">
        <f>$M$2</f>
        <v>1.77E-2</v>
      </c>
      <c r="G30" s="16">
        <f>$N$2</f>
        <v>0.98170000000000002</v>
      </c>
      <c r="K30" s="16">
        <f>D31*E30</f>
        <v>4.9742423999999991E-9</v>
      </c>
      <c r="L30" s="16">
        <f>D31*F30</f>
        <v>1.4674015079999998E-7</v>
      </c>
      <c r="M30" s="16">
        <f>D31*G30</f>
        <v>8.1386896067999992E-6</v>
      </c>
      <c r="Y30" s="16"/>
      <c r="Z30" s="16"/>
      <c r="AA30" s="16"/>
    </row>
    <row r="31" spans="4:27" x14ac:dyDescent="0.35">
      <c r="D31" s="16">
        <v>8.2904039999999987E-6</v>
      </c>
    </row>
    <row r="32" spans="4:27" x14ac:dyDescent="0.35">
      <c r="Y32" s="16"/>
      <c r="Z32" s="16"/>
      <c r="AA32" s="16"/>
    </row>
    <row r="33" spans="1:27" x14ac:dyDescent="0.35">
      <c r="E33">
        <v>1</v>
      </c>
      <c r="F33">
        <v>2</v>
      </c>
      <c r="G33">
        <v>3</v>
      </c>
      <c r="K33">
        <v>1</v>
      </c>
      <c r="L33">
        <v>2</v>
      </c>
      <c r="M33">
        <v>3</v>
      </c>
      <c r="N33" s="16"/>
    </row>
    <row r="34" spans="1:27" x14ac:dyDescent="0.35">
      <c r="D34">
        <v>1</v>
      </c>
      <c r="E34" s="16">
        <f>$F$2</f>
        <v>0.94640000000000002</v>
      </c>
      <c r="F34" s="16">
        <f>$G$2</f>
        <v>2.6100000000000002E-2</v>
      </c>
      <c r="G34" s="16">
        <f>$H$2</f>
        <v>2.75E-2</v>
      </c>
      <c r="K34" s="16">
        <f>D35*E34</f>
        <v>2.19867648E-6</v>
      </c>
      <c r="L34" s="16">
        <f>D35*F34</f>
        <v>6.0635520000000007E-8</v>
      </c>
      <c r="M34" s="16">
        <f>D35*G34</f>
        <v>6.3887999999999996E-8</v>
      </c>
      <c r="N34" s="16"/>
    </row>
    <row r="35" spans="1:27" x14ac:dyDescent="0.35">
      <c r="D35" s="16">
        <v>2.3232000000000001E-6</v>
      </c>
    </row>
    <row r="36" spans="1:27" x14ac:dyDescent="0.35">
      <c r="L36" s="16"/>
      <c r="M36" s="16"/>
      <c r="N36" s="16"/>
    </row>
    <row r="37" spans="1:27" x14ac:dyDescent="0.35">
      <c r="E37">
        <v>1</v>
      </c>
      <c r="F37">
        <v>2</v>
      </c>
      <c r="G37">
        <v>3</v>
      </c>
      <c r="K37">
        <v>1</v>
      </c>
      <c r="L37">
        <v>2</v>
      </c>
      <c r="M37">
        <v>3</v>
      </c>
      <c r="Y37" s="16"/>
      <c r="Z37" s="16"/>
      <c r="AA37" s="16"/>
    </row>
    <row r="38" spans="1:27" x14ac:dyDescent="0.35">
      <c r="D38">
        <v>2</v>
      </c>
      <c r="E38" s="16">
        <f>$I$2</f>
        <v>0.14080000000000001</v>
      </c>
      <c r="F38" s="16">
        <f>$J$2</f>
        <v>0.32979999999999998</v>
      </c>
      <c r="G38" s="16">
        <f>$K$2</f>
        <v>0.52939999999999998</v>
      </c>
      <c r="K38" s="16">
        <f>D39*E38</f>
        <v>1.3939199999999997E-9</v>
      </c>
      <c r="L38" s="16">
        <f>D39*F38</f>
        <v>3.2650199999999991E-9</v>
      </c>
      <c r="M38" s="16">
        <f>D39*G38</f>
        <v>5.2410599999999989E-9</v>
      </c>
    </row>
    <row r="39" spans="1:27" x14ac:dyDescent="0.35">
      <c r="D39" s="16">
        <v>9.8999999999999977E-9</v>
      </c>
    </row>
    <row r="40" spans="1:27" x14ac:dyDescent="0.35">
      <c r="T40" s="16"/>
      <c r="U40" s="16"/>
      <c r="V40" s="16"/>
      <c r="Y40" s="16"/>
      <c r="Z40" s="16"/>
      <c r="AA40" s="16"/>
    </row>
    <row r="41" spans="1:27" x14ac:dyDescent="0.35">
      <c r="A41" t="s">
        <v>22</v>
      </c>
      <c r="E41">
        <v>1</v>
      </c>
      <c r="F41">
        <v>2</v>
      </c>
      <c r="G41">
        <v>3</v>
      </c>
      <c r="K41">
        <v>1</v>
      </c>
      <c r="L41">
        <v>2</v>
      </c>
      <c r="M41">
        <v>3</v>
      </c>
      <c r="Y41" s="16"/>
      <c r="Z41" s="16"/>
      <c r="AA41" s="16"/>
    </row>
    <row r="42" spans="1:27" x14ac:dyDescent="0.35">
      <c r="D42">
        <v>3</v>
      </c>
      <c r="E42" s="16">
        <f>$L$2</f>
        <v>5.9999999999999995E-4</v>
      </c>
      <c r="F42" s="16">
        <f>$M$2</f>
        <v>1.77E-2</v>
      </c>
      <c r="G42" s="16">
        <f>$N$2</f>
        <v>0.98170000000000002</v>
      </c>
      <c r="K42" s="16">
        <f>D43*E42</f>
        <v>1.7522999999999997E-10</v>
      </c>
      <c r="L42" s="16">
        <f>D43*F42</f>
        <v>5.1692849999999997E-9</v>
      </c>
      <c r="M42" s="16">
        <f>D43*G42</f>
        <v>2.8670548499999998E-7</v>
      </c>
    </row>
    <row r="43" spans="1:27" x14ac:dyDescent="0.35">
      <c r="D43" s="16">
        <v>2.9204999999999997E-7</v>
      </c>
      <c r="T43" s="16"/>
      <c r="U43" s="16"/>
      <c r="V43" s="16"/>
      <c r="Y43" s="16"/>
      <c r="Z43" s="16"/>
      <c r="AA43" s="16"/>
    </row>
    <row r="44" spans="1:27" x14ac:dyDescent="0.35">
      <c r="T44" s="16"/>
      <c r="U44" s="16"/>
      <c r="V44" s="16"/>
    </row>
    <row r="45" spans="1:27" x14ac:dyDescent="0.35">
      <c r="A45" s="25"/>
      <c r="B45" s="25"/>
      <c r="C45" s="25"/>
      <c r="D45" s="25"/>
      <c r="E45">
        <v>1</v>
      </c>
      <c r="F45">
        <v>2</v>
      </c>
      <c r="G45">
        <v>3</v>
      </c>
      <c r="K45">
        <v>1</v>
      </c>
      <c r="L45">
        <v>2</v>
      </c>
      <c r="M45">
        <v>3</v>
      </c>
    </row>
    <row r="46" spans="1:27" x14ac:dyDescent="0.35">
      <c r="A46" s="26"/>
      <c r="B46" s="26"/>
      <c r="C46" s="26"/>
      <c r="D46">
        <v>1</v>
      </c>
      <c r="E46" s="16">
        <f>$F$2</f>
        <v>0.94640000000000002</v>
      </c>
      <c r="F46" s="16">
        <f>$G$2</f>
        <v>2.6100000000000002E-2</v>
      </c>
      <c r="G46" s="16">
        <f>$H$2</f>
        <v>2.75E-2</v>
      </c>
      <c r="K46" s="16">
        <f>D47*E46</f>
        <v>2.2321603239936001E-3</v>
      </c>
      <c r="L46" s="16">
        <f>D47*F46</f>
        <v>6.1558943846400012E-5</v>
      </c>
      <c r="M46" s="16">
        <f>D47*G46</f>
        <v>6.4860956160000012E-5</v>
      </c>
      <c r="T46" s="16"/>
      <c r="U46" s="16"/>
      <c r="V46" s="16"/>
    </row>
    <row r="47" spans="1:27" x14ac:dyDescent="0.35">
      <c r="A47" s="26"/>
      <c r="B47" s="26"/>
      <c r="C47" s="26"/>
      <c r="D47" s="16">
        <v>2.3585802240000003E-3</v>
      </c>
      <c r="T47" s="16"/>
      <c r="U47" s="16"/>
      <c r="V47" s="16"/>
    </row>
    <row r="48" spans="1:27" x14ac:dyDescent="0.35">
      <c r="A48" s="26"/>
      <c r="B48" s="26"/>
      <c r="C48" s="26"/>
    </row>
    <row r="49" spans="1:22" x14ac:dyDescent="0.35">
      <c r="A49" s="26"/>
      <c r="B49" s="26"/>
      <c r="C49" s="26"/>
      <c r="E49">
        <v>1</v>
      </c>
      <c r="F49">
        <v>2</v>
      </c>
      <c r="G49">
        <v>3</v>
      </c>
      <c r="K49">
        <v>1</v>
      </c>
      <c r="L49">
        <v>2</v>
      </c>
      <c r="M49">
        <v>3</v>
      </c>
    </row>
    <row r="50" spans="1:22" x14ac:dyDescent="0.35">
      <c r="A50" s="26"/>
      <c r="B50" s="26"/>
      <c r="C50" s="26"/>
      <c r="D50">
        <v>2</v>
      </c>
      <c r="E50" s="16">
        <f>$I$2</f>
        <v>0.14080000000000001</v>
      </c>
      <c r="F50" s="16">
        <f>$J$2</f>
        <v>0.32979999999999998</v>
      </c>
      <c r="G50" s="16">
        <f>$K$2</f>
        <v>0.52939999999999998</v>
      </c>
      <c r="K50" s="16">
        <f>D51*E50</f>
        <v>9.1583889408000018E-6</v>
      </c>
      <c r="L50" s="16">
        <f>D51*F50</f>
        <v>2.1451965004800002E-5</v>
      </c>
      <c r="M50" s="16">
        <f>D51*G50</f>
        <v>3.4435022054400005E-5</v>
      </c>
    </row>
    <row r="51" spans="1:22" x14ac:dyDescent="0.35">
      <c r="A51" s="26"/>
      <c r="B51" s="26"/>
      <c r="C51" s="26"/>
      <c r="D51" s="16">
        <v>6.5045376000000014E-5</v>
      </c>
      <c r="T51" s="16"/>
      <c r="U51" s="16"/>
      <c r="V51" s="16"/>
    </row>
    <row r="52" spans="1:22" x14ac:dyDescent="0.35">
      <c r="A52" s="26"/>
      <c r="B52" s="26"/>
      <c r="C52" s="26"/>
    </row>
    <row r="53" spans="1:22" x14ac:dyDescent="0.35">
      <c r="A53" s="26"/>
      <c r="B53" s="26"/>
      <c r="C53" s="26"/>
      <c r="E53">
        <v>1</v>
      </c>
      <c r="F53">
        <v>2</v>
      </c>
      <c r="G53">
        <v>3</v>
      </c>
      <c r="K53">
        <v>1</v>
      </c>
      <c r="L53">
        <v>2</v>
      </c>
      <c r="M53">
        <v>3</v>
      </c>
    </row>
    <row r="54" spans="1:22" x14ac:dyDescent="0.35">
      <c r="A54" s="26"/>
      <c r="B54" s="26"/>
      <c r="C54" s="26"/>
      <c r="D54">
        <v>3</v>
      </c>
      <c r="E54" s="16">
        <f>$L$2</f>
        <v>5.9999999999999995E-4</v>
      </c>
      <c r="F54" s="16">
        <f>$M$2</f>
        <v>1.77E-2</v>
      </c>
      <c r="G54" s="16">
        <f>$N$2</f>
        <v>0.98170000000000002</v>
      </c>
      <c r="K54" s="16">
        <f>D55*E54</f>
        <v>4.1120639999999999E-8</v>
      </c>
      <c r="L54" s="16">
        <f>D55*F54</f>
        <v>1.2130588800000002E-6</v>
      </c>
      <c r="M54" s="16">
        <f>D55*G54</f>
        <v>6.7280220480000013E-5</v>
      </c>
      <c r="T54" s="16"/>
      <c r="U54" s="16"/>
      <c r="V54" s="16"/>
    </row>
    <row r="55" spans="1:22" x14ac:dyDescent="0.35">
      <c r="A55" s="26"/>
      <c r="B55" s="26"/>
      <c r="C55" s="26"/>
      <c r="D55" s="16">
        <v>6.8534400000000006E-5</v>
      </c>
      <c r="T55" s="16"/>
      <c r="U55" s="16"/>
      <c r="V55" s="16"/>
    </row>
    <row r="57" spans="1:22" x14ac:dyDescent="0.35">
      <c r="E57">
        <v>1</v>
      </c>
      <c r="F57">
        <v>2</v>
      </c>
      <c r="G57">
        <v>3</v>
      </c>
      <c r="K57">
        <v>1</v>
      </c>
      <c r="L57">
        <v>2</v>
      </c>
      <c r="M57">
        <v>3</v>
      </c>
      <c r="T57" s="16"/>
      <c r="U57" s="16"/>
      <c r="V57" s="16"/>
    </row>
    <row r="58" spans="1:22" x14ac:dyDescent="0.35">
      <c r="D58">
        <v>1</v>
      </c>
      <c r="E58" s="16">
        <f>$F$2</f>
        <v>0.94640000000000002</v>
      </c>
      <c r="F58" s="16">
        <f>$G$2</f>
        <v>2.6100000000000002E-2</v>
      </c>
      <c r="G58" s="16">
        <f>$H$2</f>
        <v>2.75E-2</v>
      </c>
      <c r="K58" s="16">
        <f>D59*E58</f>
        <v>7.7785975787520009E-4</v>
      </c>
      <c r="L58" s="16">
        <f>D59*F58</f>
        <v>2.1451965004800002E-5</v>
      </c>
      <c r="M58" s="16">
        <f>D59*G58</f>
        <v>2.260264512E-5</v>
      </c>
    </row>
    <row r="59" spans="1:22" x14ac:dyDescent="0.35">
      <c r="D59" s="16">
        <v>8.2191436800000003E-4</v>
      </c>
    </row>
    <row r="61" spans="1:22" x14ac:dyDescent="0.35">
      <c r="E61">
        <v>1</v>
      </c>
      <c r="F61">
        <v>2</v>
      </c>
      <c r="G61">
        <v>3</v>
      </c>
      <c r="K61">
        <v>1</v>
      </c>
      <c r="L61">
        <v>2</v>
      </c>
      <c r="M61">
        <v>3</v>
      </c>
    </row>
    <row r="62" spans="1:22" x14ac:dyDescent="0.35">
      <c r="D62">
        <v>2</v>
      </c>
      <c r="E62" s="16">
        <f>$I$2</f>
        <v>0.14080000000000001</v>
      </c>
      <c r="F62" s="16">
        <f>$J$2</f>
        <v>0.32979999999999998</v>
      </c>
      <c r="G62" s="16">
        <f>$K$2</f>
        <v>0.52939999999999998</v>
      </c>
      <c r="K62" s="16">
        <f>D63*E62</f>
        <v>2.7106735856639999E-4</v>
      </c>
      <c r="L62" s="16">
        <f>D63*F62</f>
        <v>6.3492908277839992E-4</v>
      </c>
      <c r="M62" s="16">
        <f>D63*G62</f>
        <v>1.0191978666552E-3</v>
      </c>
      <c r="T62" s="16"/>
      <c r="U62" s="16"/>
      <c r="V62" s="16"/>
    </row>
    <row r="63" spans="1:22" x14ac:dyDescent="0.35">
      <c r="D63" s="16">
        <v>1.9251943079999999E-3</v>
      </c>
    </row>
    <row r="65" spans="4:22" x14ac:dyDescent="0.35">
      <c r="E65">
        <v>1</v>
      </c>
      <c r="F65">
        <v>2</v>
      </c>
      <c r="G65">
        <v>3</v>
      </c>
      <c r="K65">
        <v>1</v>
      </c>
      <c r="L65">
        <v>2</v>
      </c>
      <c r="M65">
        <v>3</v>
      </c>
      <c r="T65" s="16"/>
      <c r="U65" s="16"/>
      <c r="V65" s="16"/>
    </row>
    <row r="66" spans="4:22" x14ac:dyDescent="0.35">
      <c r="D66">
        <v>3</v>
      </c>
      <c r="E66" s="16">
        <f>$L$2</f>
        <v>5.9999999999999995E-4</v>
      </c>
      <c r="F66" s="16">
        <f>$M$2</f>
        <v>1.77E-2</v>
      </c>
      <c r="G66" s="16">
        <f>$N$2</f>
        <v>0.98170000000000002</v>
      </c>
      <c r="K66" s="16">
        <f>D67*E66</f>
        <v>1.8542107943999998E-6</v>
      </c>
      <c r="L66" s="16">
        <f>D67*F66</f>
        <v>5.4699218434799998E-5</v>
      </c>
      <c r="M66" s="16">
        <f>D67*G66</f>
        <v>3.0337978947708E-3</v>
      </c>
      <c r="T66" s="16"/>
      <c r="U66" s="16"/>
      <c r="V66" s="16"/>
    </row>
    <row r="67" spans="4:22" x14ac:dyDescent="0.35">
      <c r="D67" s="16">
        <v>3.0903513239999999E-3</v>
      </c>
    </row>
    <row r="68" spans="4:22" x14ac:dyDescent="0.35">
      <c r="T68" s="16"/>
      <c r="U68" s="16"/>
      <c r="V68" s="16"/>
    </row>
    <row r="69" spans="4:22" x14ac:dyDescent="0.35">
      <c r="E69">
        <v>1</v>
      </c>
      <c r="F69">
        <v>2</v>
      </c>
      <c r="G69">
        <v>3</v>
      </c>
      <c r="K69">
        <v>1</v>
      </c>
      <c r="L69">
        <v>2</v>
      </c>
      <c r="M69">
        <v>3</v>
      </c>
    </row>
    <row r="70" spans="4:22" x14ac:dyDescent="0.35">
      <c r="D70">
        <v>1</v>
      </c>
      <c r="E70" s="16">
        <f>$F$2</f>
        <v>0.94640000000000002</v>
      </c>
      <c r="F70" s="16">
        <f>$G$2</f>
        <v>2.6100000000000002E-2</v>
      </c>
      <c r="G70" s="16">
        <f>$H$2</f>
        <v>2.75E-2</v>
      </c>
      <c r="K70" s="16">
        <f>D71*E70</f>
        <v>5.3208765791999997E-6</v>
      </c>
      <c r="L70" s="16">
        <f>D71*F70</f>
        <v>1.4674015079999998E-7</v>
      </c>
      <c r="M70" s="16">
        <f>D71*G70</f>
        <v>1.5461126999999998E-7</v>
      </c>
    </row>
    <row r="71" spans="4:22" x14ac:dyDescent="0.35">
      <c r="D71" s="16">
        <v>5.6222279999999992E-6</v>
      </c>
    </row>
    <row r="73" spans="4:22" x14ac:dyDescent="0.35">
      <c r="E73">
        <v>1</v>
      </c>
      <c r="F73">
        <v>2</v>
      </c>
      <c r="G73">
        <v>3</v>
      </c>
      <c r="K73">
        <v>1</v>
      </c>
      <c r="L73">
        <v>2</v>
      </c>
      <c r="M73">
        <v>3</v>
      </c>
    </row>
    <row r="74" spans="4:22" x14ac:dyDescent="0.35">
      <c r="D74">
        <v>2</v>
      </c>
      <c r="E74" s="16">
        <f>$I$2</f>
        <v>0.14080000000000001</v>
      </c>
      <c r="F74" s="16">
        <f>$J$2</f>
        <v>0.32979999999999998</v>
      </c>
      <c r="G74" s="16">
        <f>$K$2</f>
        <v>0.52939999999999998</v>
      </c>
      <c r="K74" s="16">
        <f>D75*E74</f>
        <v>2.3352486220800001E-5</v>
      </c>
      <c r="L74" s="16">
        <f>D75*F74</f>
        <v>5.4699218434799992E-5</v>
      </c>
      <c r="M74" s="16">
        <f>D75*G74</f>
        <v>8.780402134439999E-5</v>
      </c>
    </row>
    <row r="75" spans="4:22" x14ac:dyDescent="0.35">
      <c r="D75" s="16">
        <v>1.6585572599999999E-4</v>
      </c>
    </row>
    <row r="77" spans="4:22" x14ac:dyDescent="0.35">
      <c r="E77">
        <v>1</v>
      </c>
      <c r="F77">
        <v>2</v>
      </c>
      <c r="G77">
        <v>3</v>
      </c>
      <c r="K77">
        <v>1</v>
      </c>
      <c r="L77">
        <v>2</v>
      </c>
      <c r="M77">
        <v>3</v>
      </c>
    </row>
    <row r="78" spans="4:22" x14ac:dyDescent="0.35">
      <c r="D78">
        <v>3</v>
      </c>
      <c r="E78" s="16">
        <f>$L$2</f>
        <v>5.9999999999999995E-4</v>
      </c>
      <c r="F78" s="16">
        <f>$M$2</f>
        <v>1.77E-2</v>
      </c>
      <c r="G78" s="16">
        <f>$N$2</f>
        <v>0.98170000000000002</v>
      </c>
      <c r="K78" s="16">
        <f>D79*E78</f>
        <v>5.5193412275999987E-6</v>
      </c>
      <c r="L78" s="16">
        <f>D79*F78</f>
        <v>1.628205662142E-4</v>
      </c>
      <c r="M78" s="16">
        <f>D79*G78</f>
        <v>9.0305621385581986E-3</v>
      </c>
    </row>
    <row r="79" spans="4:22" x14ac:dyDescent="0.35">
      <c r="D79" s="16">
        <v>9.1989020459999991E-3</v>
      </c>
    </row>
    <row r="81" spans="2:14" x14ac:dyDescent="0.35">
      <c r="B81" s="26"/>
      <c r="C81" s="26"/>
      <c r="D81" s="26"/>
      <c r="E81">
        <v>1</v>
      </c>
      <c r="F81">
        <v>2</v>
      </c>
      <c r="G81">
        <v>3</v>
      </c>
      <c r="K81">
        <v>1</v>
      </c>
      <c r="L81">
        <v>2</v>
      </c>
      <c r="M81">
        <v>3</v>
      </c>
    </row>
    <row r="82" spans="2:14" x14ac:dyDescent="0.35">
      <c r="D82">
        <v>1</v>
      </c>
      <c r="E82" s="16">
        <f>$F$2</f>
        <v>0.94640000000000002</v>
      </c>
      <c r="F82" s="16">
        <f>$G$2</f>
        <v>2.6100000000000002E-2</v>
      </c>
      <c r="G82" s="16">
        <f>$H$2</f>
        <v>2.75E-2</v>
      </c>
      <c r="K82" s="16">
        <f>D83*E82</f>
        <v>5.2756928689920001E-4</v>
      </c>
      <c r="L82" s="16">
        <f>D83*F82</f>
        <v>1.4549406580800002E-5</v>
      </c>
      <c r="M82" s="16">
        <f>D83*G82</f>
        <v>1.5329834520000001E-5</v>
      </c>
    </row>
    <row r="83" spans="2:14" x14ac:dyDescent="0.35">
      <c r="D83" s="16">
        <v>5.5744852800000005E-4</v>
      </c>
    </row>
    <row r="84" spans="2:14" x14ac:dyDescent="0.35">
      <c r="B84" s="26"/>
      <c r="C84" s="26"/>
      <c r="D84" s="26"/>
    </row>
    <row r="85" spans="2:14" x14ac:dyDescent="0.35">
      <c r="B85" s="26"/>
      <c r="C85" s="26"/>
      <c r="D85" s="26"/>
      <c r="E85">
        <v>1</v>
      </c>
      <c r="F85">
        <v>2</v>
      </c>
      <c r="G85">
        <v>3</v>
      </c>
      <c r="K85">
        <v>1</v>
      </c>
      <c r="L85">
        <v>2</v>
      </c>
      <c r="M85">
        <v>3</v>
      </c>
    </row>
    <row r="86" spans="2:14" x14ac:dyDescent="0.35">
      <c r="D86">
        <v>2</v>
      </c>
      <c r="E86" s="16">
        <f>$I$2</f>
        <v>0.14080000000000001</v>
      </c>
      <c r="F86" s="16">
        <f>$J$2</f>
        <v>0.32979999999999998</v>
      </c>
      <c r="G86" s="16">
        <f>$K$2</f>
        <v>0.52939999999999998</v>
      </c>
      <c r="K86" s="16">
        <f>D87*E86</f>
        <v>2.1645778176000003E-6</v>
      </c>
      <c r="L86" s="16">
        <f>D87*F86</f>
        <v>5.0701545756000003E-6</v>
      </c>
      <c r="M86" s="16">
        <f>D87*G86</f>
        <v>8.1386896068000009E-6</v>
      </c>
    </row>
    <row r="87" spans="2:14" x14ac:dyDescent="0.35">
      <c r="D87" s="16">
        <v>1.5373422000000001E-5</v>
      </c>
    </row>
    <row r="89" spans="2:14" x14ac:dyDescent="0.35">
      <c r="E89">
        <v>1</v>
      </c>
      <c r="F89">
        <v>2</v>
      </c>
      <c r="G89">
        <v>3</v>
      </c>
      <c r="K89">
        <v>1</v>
      </c>
      <c r="L89">
        <v>2</v>
      </c>
      <c r="M89">
        <v>3</v>
      </c>
      <c r="N89" s="16"/>
    </row>
    <row r="90" spans="2:14" x14ac:dyDescent="0.35">
      <c r="D90">
        <v>3</v>
      </c>
      <c r="E90" s="16">
        <f>$L$2</f>
        <v>5.9999999999999995E-4</v>
      </c>
      <c r="F90" s="16">
        <f>$M$2</f>
        <v>1.77E-2</v>
      </c>
      <c r="G90" s="16">
        <f>$N$2</f>
        <v>0.98170000000000002</v>
      </c>
      <c r="K90" s="16">
        <f>D91*E90</f>
        <v>9.7188299999999996E-9</v>
      </c>
      <c r="L90" s="16">
        <f>D91*F90</f>
        <v>2.8670548499999998E-7</v>
      </c>
      <c r="M90" s="16">
        <f>D91*G90</f>
        <v>1.5901625684999999E-5</v>
      </c>
    </row>
    <row r="91" spans="2:14" x14ac:dyDescent="0.35">
      <c r="D91" s="16">
        <v>1.619805E-5</v>
      </c>
    </row>
    <row r="93" spans="2:14" x14ac:dyDescent="0.35">
      <c r="E93">
        <v>1</v>
      </c>
      <c r="F93">
        <v>2</v>
      </c>
      <c r="G93">
        <v>3</v>
      </c>
      <c r="K93">
        <v>1</v>
      </c>
      <c r="L93">
        <v>2</v>
      </c>
      <c r="M93">
        <v>3</v>
      </c>
    </row>
    <row r="94" spans="2:14" x14ac:dyDescent="0.35">
      <c r="D94">
        <v>1</v>
      </c>
      <c r="E94" s="16">
        <f>$F$2</f>
        <v>0.94640000000000002</v>
      </c>
      <c r="F94" s="16">
        <f>$G$2</f>
        <v>2.6100000000000002E-2</v>
      </c>
      <c r="G94" s="16">
        <f>$H$2</f>
        <v>2.75E-2</v>
      </c>
      <c r="K94" s="16">
        <f>D95*E94</f>
        <v>2.3154182059008E-3</v>
      </c>
      <c r="L94" s="16">
        <f>D95*F94</f>
        <v>6.3855045619200005E-5</v>
      </c>
      <c r="M94" s="16">
        <f>D95*G94</f>
        <v>6.728022048E-5</v>
      </c>
    </row>
    <row r="95" spans="2:14" x14ac:dyDescent="0.35">
      <c r="D95" s="16">
        <v>2.446553472E-3</v>
      </c>
    </row>
    <row r="97" spans="4:13" x14ac:dyDescent="0.35">
      <c r="E97">
        <v>1</v>
      </c>
      <c r="F97">
        <v>2</v>
      </c>
      <c r="G97">
        <v>3</v>
      </c>
      <c r="K97">
        <v>1</v>
      </c>
      <c r="L97">
        <v>2</v>
      </c>
      <c r="M97">
        <v>3</v>
      </c>
    </row>
    <row r="98" spans="4:13" x14ac:dyDescent="0.35">
      <c r="D98">
        <v>2</v>
      </c>
      <c r="E98" s="16">
        <f>$I$2</f>
        <v>0.14080000000000001</v>
      </c>
      <c r="F98" s="16">
        <f>$J$2</f>
        <v>0.32979999999999998</v>
      </c>
      <c r="G98" s="16">
        <f>$K$2</f>
        <v>0.52939999999999998</v>
      </c>
      <c r="K98" s="16">
        <f>D99*E98</f>
        <v>8.0687333506559999E-4</v>
      </c>
      <c r="L98" s="16">
        <f>D99*F98</f>
        <v>1.8899632521635998E-3</v>
      </c>
      <c r="M98" s="16">
        <f>D99*G98</f>
        <v>3.0337978947708E-3</v>
      </c>
    </row>
    <row r="99" spans="4:13" x14ac:dyDescent="0.35">
      <c r="D99" s="16">
        <v>5.7306344819999999E-3</v>
      </c>
    </row>
    <row r="101" spans="4:13" x14ac:dyDescent="0.35">
      <c r="E101">
        <v>1</v>
      </c>
      <c r="F101">
        <v>2</v>
      </c>
      <c r="G101">
        <v>3</v>
      </c>
      <c r="K101">
        <v>1</v>
      </c>
      <c r="L101">
        <v>2</v>
      </c>
      <c r="M101">
        <v>3</v>
      </c>
    </row>
    <row r="102" spans="4:13" x14ac:dyDescent="0.35">
      <c r="D102">
        <v>3</v>
      </c>
      <c r="E102" s="16">
        <f>$L$2</f>
        <v>5.9999999999999995E-4</v>
      </c>
      <c r="F102" s="16">
        <f>$M$2</f>
        <v>1.77E-2</v>
      </c>
      <c r="G102" s="16">
        <f>$N$2</f>
        <v>0.98170000000000002</v>
      </c>
      <c r="K102" s="16">
        <f>D103*E102</f>
        <v>5.5193412275999987E-6</v>
      </c>
      <c r="L102" s="16">
        <f>D103*F102</f>
        <v>1.628205662142E-4</v>
      </c>
      <c r="M102" s="16">
        <f>D103*G102</f>
        <v>9.0305621385581986E-3</v>
      </c>
    </row>
    <row r="103" spans="4:13" x14ac:dyDescent="0.35">
      <c r="D103" s="16">
        <v>9.1989020459999991E-3</v>
      </c>
    </row>
    <row r="105" spans="4:13" x14ac:dyDescent="0.35">
      <c r="E105">
        <v>1</v>
      </c>
      <c r="F105">
        <v>2</v>
      </c>
      <c r="G105">
        <v>3</v>
      </c>
      <c r="K105">
        <v>1</v>
      </c>
      <c r="L105">
        <v>2</v>
      </c>
      <c r="M105">
        <v>3</v>
      </c>
    </row>
    <row r="106" spans="4:13" x14ac:dyDescent="0.35">
      <c r="D106">
        <v>1</v>
      </c>
      <c r="E106" s="16">
        <f>$F$2</f>
        <v>0.94640000000000002</v>
      </c>
      <c r="F106" s="16">
        <f>$G$2</f>
        <v>2.6100000000000002E-2</v>
      </c>
      <c r="G106" s="16">
        <f>$H$2</f>
        <v>2.75E-2</v>
      </c>
      <c r="K106" s="16">
        <f>D107*E106</f>
        <v>5.4724721993759998E-4</v>
      </c>
      <c r="L106" s="16">
        <f>D107*F106</f>
        <v>1.5092088377400002E-5</v>
      </c>
      <c r="M106" s="16">
        <f>D107*G106</f>
        <v>1.5901625684999999E-5</v>
      </c>
    </row>
    <row r="107" spans="4:13" x14ac:dyDescent="0.35">
      <c r="D107" s="16">
        <v>5.78240934E-4</v>
      </c>
    </row>
    <row r="109" spans="4:13" x14ac:dyDescent="0.35">
      <c r="E109">
        <v>1</v>
      </c>
      <c r="F109">
        <v>2</v>
      </c>
      <c r="G109">
        <v>3</v>
      </c>
      <c r="K109">
        <v>1</v>
      </c>
      <c r="L109">
        <v>2</v>
      </c>
      <c r="M109">
        <v>3</v>
      </c>
    </row>
    <row r="110" spans="4:13" x14ac:dyDescent="0.35">
      <c r="D110">
        <v>2</v>
      </c>
      <c r="E110" s="16">
        <f>$I$2</f>
        <v>0.14080000000000001</v>
      </c>
      <c r="F110" s="16">
        <f>$J$2</f>
        <v>0.32979999999999998</v>
      </c>
      <c r="G110" s="16">
        <f>$K$2</f>
        <v>0.52939999999999998</v>
      </c>
      <c r="K110" s="16">
        <f>D111*E110</f>
        <v>2.4017815434624001E-3</v>
      </c>
      <c r="L110" s="16">
        <f>D111*F110</f>
        <v>5.6257638709793995E-3</v>
      </c>
      <c r="M110" s="16">
        <f>D111*G110</f>
        <v>9.0305621385581986E-3</v>
      </c>
    </row>
    <row r="111" spans="4:13" x14ac:dyDescent="0.35">
      <c r="D111" s="16">
        <v>1.7058107552999999E-2</v>
      </c>
    </row>
    <row r="113" spans="4:13" x14ac:dyDescent="0.35">
      <c r="E113">
        <v>1</v>
      </c>
      <c r="F113">
        <v>2</v>
      </c>
      <c r="G113">
        <v>3</v>
      </c>
      <c r="K113">
        <v>1</v>
      </c>
      <c r="L113">
        <v>2</v>
      </c>
      <c r="M113">
        <v>3</v>
      </c>
    </row>
    <row r="114" spans="4:13" x14ac:dyDescent="0.35">
      <c r="D114">
        <v>3</v>
      </c>
      <c r="E114" s="16">
        <f>$L$2</f>
        <v>5.9999999999999995E-4</v>
      </c>
      <c r="F114" s="16">
        <f>$M$2</f>
        <v>1.77E-2</v>
      </c>
      <c r="G114" s="16">
        <f>$N$2</f>
        <v>0.98170000000000002</v>
      </c>
      <c r="K114" s="16">
        <f>D115*E114</f>
        <v>5.676591249077999E-4</v>
      </c>
      <c r="L114" s="16">
        <f>D115*F114</f>
        <v>1.67459441847801E-2</v>
      </c>
      <c r="M114" s="16">
        <f>D115*G114</f>
        <v>0.92878493820331209</v>
      </c>
    </row>
    <row r="115" spans="4:13" x14ac:dyDescent="0.35">
      <c r="D115" s="16">
        <v>0.94609854151299999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8CB4-AD87-4987-9D3C-17FCBD872E3F}">
  <dimension ref="A1:AE336"/>
  <sheetViews>
    <sheetView tabSelected="1" topLeftCell="H1" zoomScale="70" zoomScaleNormal="70" workbookViewId="0">
      <selection activeCell="R54" sqref="R54"/>
    </sheetView>
  </sheetViews>
  <sheetFormatPr defaultRowHeight="14.5" x14ac:dyDescent="0.35"/>
  <cols>
    <col min="3" max="4" width="8.7265625" style="26"/>
  </cols>
  <sheetData>
    <row r="1" spans="4:31" ht="15" thickBot="1" x14ac:dyDescent="0.4">
      <c r="E1" s="3" t="s">
        <v>3</v>
      </c>
      <c r="F1" s="4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8" t="s">
        <v>12</v>
      </c>
    </row>
    <row r="2" spans="4:31" x14ac:dyDescent="0.35">
      <c r="E2" s="1" t="s">
        <v>0</v>
      </c>
      <c r="F2" s="10">
        <v>0.94640000000000002</v>
      </c>
      <c r="G2" s="11">
        <v>2.6100000000000002E-2</v>
      </c>
      <c r="H2" s="11">
        <v>2.75E-2</v>
      </c>
      <c r="I2" s="12">
        <v>0.14080000000000001</v>
      </c>
      <c r="J2" s="12">
        <v>0.32979999999999998</v>
      </c>
      <c r="K2" s="12">
        <v>0.52939999999999998</v>
      </c>
      <c r="L2" s="13">
        <v>5.9999999999999995E-4</v>
      </c>
      <c r="M2" s="13">
        <v>1.77E-2</v>
      </c>
      <c r="N2" s="14">
        <v>0.98170000000000002</v>
      </c>
    </row>
    <row r="13" spans="4:31" x14ac:dyDescent="0.35">
      <c r="R13" s="18">
        <v>1</v>
      </c>
      <c r="S13" s="18">
        <v>2</v>
      </c>
      <c r="T13" s="18">
        <v>3</v>
      </c>
      <c r="U13" s="18" t="s">
        <v>15</v>
      </c>
    </row>
    <row r="14" spans="4:31" x14ac:dyDescent="0.35">
      <c r="E14">
        <v>1</v>
      </c>
      <c r="F14">
        <v>2</v>
      </c>
      <c r="G14">
        <v>3</v>
      </c>
      <c r="K14">
        <v>1</v>
      </c>
      <c r="L14">
        <v>2</v>
      </c>
      <c r="M14">
        <v>3</v>
      </c>
      <c r="R14" s="16">
        <f>K15+K19+K23+K27+K31+K35+K39+K43+K47+K51+K55+K59+K63+K67+K71+K75+K79+K83+K87+K91+K95+K99+K103+K107+K111+K115+K119+K123+K127+K131+K135+K139+K143+K147+K151+K155+K159+K163+K167+K171+K175+K179+K183+K187+K191+K195+K199+K203+K207+K211+K215+K219+K223+K227+K231+K235+K239+K243+K247+K251+K255+K259+K263+K267+K271+K275+K279+K283+K287+K291+K295+K299+K303+K307+K311+K315+K319+K323+K327+K331+K335</f>
        <v>1.4622382634885966E-2</v>
      </c>
      <c r="S14" s="16">
        <f t="shared" ref="S14:T14" si="0">L15+L19+L23+L27+L31+L35+L39+L43+L47+L51+L55+L59+L63+L67+L71+L75+L79+L83+L87+L91+L95+L99+L103+L107+L111+L115+L119+L123+L127+L131+L135+L139+L143+L147+L151+L155+L159+L163+L167+L171+L175+L179+L183+L187+L191+L195+L199+L203+L207+L211+L215+L219+L223+L227+L231+L235+L239+L243+L247+L251+L255+L259+L263+L267+L271+L275+L279+L283+L287+L291+L295+L299+L303+L307+L311+L315+L319+L323+L327+L331+L335</f>
        <v>2.5773263210750255E-2</v>
      </c>
      <c r="T14" s="16">
        <f t="shared" si="0"/>
        <v>0.95955678722627458</v>
      </c>
      <c r="U14" s="16">
        <f>R14+S14+T14</f>
        <v>0.99995243307191084</v>
      </c>
      <c r="X14" s="26"/>
      <c r="Y14" s="26"/>
      <c r="Z14" s="26"/>
      <c r="AA14" s="26"/>
      <c r="AB14" s="26"/>
      <c r="AC14" s="26"/>
      <c r="AD14" s="26"/>
      <c r="AE14" s="26"/>
    </row>
    <row r="15" spans="4:31" x14ac:dyDescent="0.35">
      <c r="D15" s="26">
        <v>1</v>
      </c>
      <c r="E15" s="16">
        <f>$F$2</f>
        <v>0.94640000000000002</v>
      </c>
      <c r="F15" s="16">
        <f>$G$2</f>
        <v>2.6100000000000002E-2</v>
      </c>
      <c r="G15" s="16">
        <f>$H$2</f>
        <v>2.75E-2</v>
      </c>
      <c r="K15" s="16">
        <f>D16*E15</f>
        <v>4.81338030765097E-4</v>
      </c>
      <c r="L15" s="16">
        <f>D16*F15</f>
        <v>1.3274432167127043E-5</v>
      </c>
      <c r="M15" s="16">
        <f>D16*G15</f>
        <v>1.3986470674176002E-5</v>
      </c>
      <c r="X15" s="26"/>
      <c r="Y15" s="26"/>
      <c r="Z15" s="26"/>
      <c r="AA15" s="26"/>
      <c r="AB15" s="26"/>
      <c r="AC15" s="26"/>
      <c r="AD15" s="26"/>
      <c r="AE15" s="26"/>
    </row>
    <row r="16" spans="4:31" x14ac:dyDescent="0.35">
      <c r="D16" s="27">
        <v>5.0859893360640006E-4</v>
      </c>
      <c r="X16" s="26"/>
      <c r="Y16" s="26"/>
      <c r="Z16" s="26"/>
      <c r="AA16" s="26"/>
      <c r="AB16" s="26"/>
      <c r="AC16" s="26"/>
      <c r="AD16" s="26"/>
      <c r="AE16" s="26"/>
    </row>
    <row r="17" spans="1:31" x14ac:dyDescent="0.35">
      <c r="X17" s="26"/>
      <c r="Y17" s="26"/>
      <c r="Z17" s="26"/>
      <c r="AA17" s="26"/>
      <c r="AB17" s="26"/>
      <c r="AC17" s="26"/>
      <c r="AD17" s="26"/>
      <c r="AE17" s="26"/>
    </row>
    <row r="18" spans="1:31" x14ac:dyDescent="0.35">
      <c r="E18">
        <v>1</v>
      </c>
      <c r="F18">
        <v>2</v>
      </c>
      <c r="G18">
        <v>3</v>
      </c>
      <c r="K18">
        <v>1</v>
      </c>
      <c r="L18">
        <v>2</v>
      </c>
      <c r="M18">
        <v>3</v>
      </c>
      <c r="X18" s="26"/>
      <c r="Y18" s="27"/>
      <c r="Z18" s="27"/>
      <c r="AA18" s="27"/>
      <c r="AB18" s="26"/>
      <c r="AC18" s="26"/>
      <c r="AD18" s="26"/>
      <c r="AE18" s="26"/>
    </row>
    <row r="19" spans="1:31" x14ac:dyDescent="0.35">
      <c r="D19" s="26">
        <v>2</v>
      </c>
      <c r="E19" s="16">
        <f>$I$2</f>
        <v>0.14080000000000001</v>
      </c>
      <c r="F19" s="16">
        <f>$J$2</f>
        <v>0.32979999999999998</v>
      </c>
      <c r="G19" s="16">
        <f>$K$2</f>
        <v>0.52939999999999998</v>
      </c>
      <c r="K19" s="16">
        <f>D20*E19</f>
        <v>1.9748943883468806E-6</v>
      </c>
      <c r="L19" s="16">
        <f>D20*F19</f>
        <v>4.6258534749772808E-6</v>
      </c>
      <c r="M19" s="16">
        <f>D20*G19</f>
        <v>7.4254906902758407E-6</v>
      </c>
      <c r="P19" s="16"/>
      <c r="Q19" s="16"/>
      <c r="R19" s="16"/>
      <c r="X19" s="26"/>
      <c r="Y19" s="26"/>
      <c r="Z19" s="26"/>
      <c r="AA19" s="26"/>
      <c r="AB19" s="26"/>
      <c r="AC19" s="26"/>
      <c r="AD19" s="26"/>
      <c r="AE19" s="26"/>
    </row>
    <row r="20" spans="1:31" x14ac:dyDescent="0.35">
      <c r="D20" s="27">
        <v>1.4026238553600003E-5</v>
      </c>
      <c r="X20" s="26"/>
      <c r="Y20" s="26"/>
      <c r="Z20" s="27"/>
      <c r="AA20" s="27"/>
      <c r="AB20" s="26"/>
      <c r="AC20" s="26"/>
      <c r="AD20" s="26"/>
      <c r="AE20" s="26"/>
    </row>
    <row r="21" spans="1:31" x14ac:dyDescent="0.35">
      <c r="Q21" s="16"/>
      <c r="R21" s="16"/>
      <c r="X21" s="26"/>
      <c r="Y21" s="26"/>
      <c r="Z21" s="26"/>
      <c r="AA21" s="26"/>
      <c r="AB21" s="26"/>
      <c r="AC21" s="26"/>
      <c r="AD21" s="26"/>
      <c r="AE21" s="26"/>
    </row>
    <row r="22" spans="1:31" x14ac:dyDescent="0.35">
      <c r="E22">
        <v>1</v>
      </c>
      <c r="F22">
        <v>2</v>
      </c>
      <c r="G22">
        <v>3</v>
      </c>
      <c r="K22">
        <v>1</v>
      </c>
      <c r="L22">
        <v>2</v>
      </c>
      <c r="M22">
        <v>3</v>
      </c>
      <c r="X22" s="26"/>
      <c r="Y22" s="27"/>
      <c r="Z22" s="27"/>
      <c r="AA22" s="27"/>
      <c r="AB22" s="26"/>
      <c r="AC22" s="26"/>
      <c r="AD22" s="26"/>
      <c r="AE22" s="26"/>
    </row>
    <row r="23" spans="1:31" x14ac:dyDescent="0.35">
      <c r="D23" s="26">
        <v>3</v>
      </c>
      <c r="E23" s="16">
        <f>$L$2</f>
        <v>5.9999999999999995E-4</v>
      </c>
      <c r="F23" s="16">
        <f>$M$2</f>
        <v>1.77E-2</v>
      </c>
      <c r="G23" s="16">
        <f>$N$2</f>
        <v>0.98170000000000002</v>
      </c>
      <c r="K23" s="16">
        <f>D24*E23</f>
        <v>8.8671623040000003E-9</v>
      </c>
      <c r="L23" s="16">
        <f>D24*F23</f>
        <v>2.6158128796800005E-7</v>
      </c>
      <c r="M23" s="16">
        <f>D24*G23</f>
        <v>1.4508155389728002E-5</v>
      </c>
      <c r="P23" s="16"/>
      <c r="Q23" s="16"/>
      <c r="R23" s="16"/>
      <c r="X23" s="26"/>
      <c r="Y23" s="26"/>
      <c r="Z23" s="27"/>
      <c r="AA23" s="27"/>
      <c r="AB23" s="26"/>
      <c r="AC23" s="26"/>
      <c r="AD23" s="26"/>
      <c r="AE23" s="26"/>
    </row>
    <row r="24" spans="1:31" x14ac:dyDescent="0.35">
      <c r="D24" s="27">
        <v>1.4778603840000001E-5</v>
      </c>
      <c r="Q24" s="16"/>
      <c r="R24" s="16"/>
      <c r="X24" s="26"/>
      <c r="Y24" s="26"/>
      <c r="Z24" s="26"/>
      <c r="AA24" s="26"/>
      <c r="AB24" s="26"/>
      <c r="AC24" s="26"/>
      <c r="AD24" s="26"/>
      <c r="AE24" s="26"/>
    </row>
    <row r="25" spans="1:31" x14ac:dyDescent="0.35">
      <c r="X25" s="26"/>
      <c r="Y25" s="26"/>
      <c r="Z25" s="26"/>
      <c r="AA25" s="26"/>
      <c r="AB25" s="26"/>
      <c r="AC25" s="26"/>
      <c r="AD25" s="26"/>
      <c r="AE25" s="26"/>
    </row>
    <row r="26" spans="1:31" x14ac:dyDescent="0.35">
      <c r="E26">
        <v>1</v>
      </c>
      <c r="F26">
        <v>2</v>
      </c>
      <c r="G26">
        <v>3</v>
      </c>
      <c r="K26">
        <v>1</v>
      </c>
      <c r="L26">
        <v>2</v>
      </c>
      <c r="M26">
        <v>3</v>
      </c>
      <c r="X26" s="26"/>
      <c r="Y26" s="27"/>
      <c r="Z26" s="27"/>
      <c r="AA26" s="27"/>
      <c r="AB26" s="26"/>
      <c r="AC26" s="26"/>
      <c r="AD26" s="26"/>
      <c r="AE26" s="26"/>
    </row>
    <row r="27" spans="1:31" x14ac:dyDescent="0.35">
      <c r="D27" s="26">
        <v>1</v>
      </c>
      <c r="E27" s="16">
        <f>$F$2</f>
        <v>0.94640000000000002</v>
      </c>
      <c r="F27" s="16">
        <f>$G$2</f>
        <v>2.6100000000000002E-2</v>
      </c>
      <c r="G27" s="16">
        <f>$H$2</f>
        <v>2.75E-2</v>
      </c>
      <c r="K27" s="16">
        <f>D28*E27</f>
        <v>1.9748943883468802E-6</v>
      </c>
      <c r="L27" s="16">
        <f>D28*F27</f>
        <v>5.4464014725120013E-8</v>
      </c>
      <c r="M27" s="16">
        <f>D28*G27</f>
        <v>5.7385456128000013E-8</v>
      </c>
      <c r="P27" s="16"/>
      <c r="Q27" s="16"/>
      <c r="R27" s="16"/>
      <c r="X27" s="26"/>
      <c r="Y27" s="26"/>
      <c r="Z27" s="26"/>
      <c r="AA27" s="26"/>
      <c r="AB27" s="26"/>
      <c r="AC27" s="26"/>
      <c r="AD27" s="26"/>
      <c r="AE27" s="26"/>
    </row>
    <row r="28" spans="1:31" x14ac:dyDescent="0.35">
      <c r="D28" s="27">
        <v>2.0867438592000004E-6</v>
      </c>
      <c r="X28" s="26"/>
      <c r="Y28" s="26"/>
      <c r="Z28" s="26"/>
      <c r="AA28" s="26"/>
      <c r="AB28" s="26"/>
      <c r="AC28" s="26"/>
      <c r="AD28" s="26"/>
      <c r="AE28" s="26"/>
    </row>
    <row r="29" spans="1:31" x14ac:dyDescent="0.35">
      <c r="X29" s="26"/>
      <c r="Y29" s="26"/>
      <c r="Z29" s="26"/>
      <c r="AA29" s="26"/>
      <c r="AB29" s="26"/>
      <c r="AC29" s="26"/>
      <c r="AD29" s="26"/>
      <c r="AE29" s="26"/>
    </row>
    <row r="30" spans="1:31" x14ac:dyDescent="0.35">
      <c r="E30">
        <v>1</v>
      </c>
      <c r="F30">
        <v>2</v>
      </c>
      <c r="G30">
        <v>3</v>
      </c>
      <c r="K30">
        <v>1</v>
      </c>
      <c r="L30">
        <v>2</v>
      </c>
      <c r="M30">
        <v>3</v>
      </c>
      <c r="X30" s="26"/>
      <c r="Y30" s="27"/>
      <c r="Z30" s="27"/>
      <c r="AA30" s="27"/>
      <c r="AB30" s="26"/>
      <c r="AC30" s="26"/>
      <c r="AD30" s="26"/>
      <c r="AE30" s="26"/>
    </row>
    <row r="31" spans="1:31" x14ac:dyDescent="0.35">
      <c r="A31" t="s">
        <v>26</v>
      </c>
      <c r="D31" s="26">
        <v>2</v>
      </c>
      <c r="E31" s="16">
        <f>$I$2</f>
        <v>0.14080000000000001</v>
      </c>
      <c r="F31" s="16">
        <f>$J$2</f>
        <v>0.32979999999999998</v>
      </c>
      <c r="G31" s="16">
        <f>$K$2</f>
        <v>0.52939999999999998</v>
      </c>
      <c r="K31" s="16">
        <f>D32*E31</f>
        <v>2.9381353537536008E-7</v>
      </c>
      <c r="L31" s="16">
        <f>D32*F31</f>
        <v>6.8820812476416005E-7</v>
      </c>
      <c r="M31" s="16">
        <f>D32*G31</f>
        <v>1.1047221990604802E-6</v>
      </c>
      <c r="P31" s="16"/>
      <c r="Q31" s="16"/>
      <c r="R31" s="16"/>
      <c r="X31" s="26"/>
      <c r="Y31" s="26"/>
      <c r="Z31" s="27"/>
      <c r="AA31" s="27"/>
      <c r="AB31" s="26"/>
      <c r="AC31" s="26"/>
      <c r="AD31" s="26"/>
      <c r="AE31" s="26"/>
    </row>
    <row r="32" spans="1:31" x14ac:dyDescent="0.35">
      <c r="D32" s="27">
        <v>2.0867438592000004E-6</v>
      </c>
      <c r="Q32" s="16"/>
      <c r="R32" s="16"/>
      <c r="X32" s="26"/>
      <c r="Y32" s="26"/>
      <c r="Z32" s="26"/>
      <c r="AA32" s="26"/>
      <c r="AB32" s="26"/>
      <c r="AC32" s="26"/>
      <c r="AD32" s="26"/>
      <c r="AE32" s="26"/>
    </row>
    <row r="33" spans="4:31" x14ac:dyDescent="0.35">
      <c r="X33" s="26"/>
      <c r="Y33" s="26"/>
      <c r="Z33" s="26"/>
      <c r="AA33" s="26"/>
      <c r="AB33" s="26"/>
      <c r="AC33" s="26"/>
      <c r="AD33" s="26"/>
      <c r="AE33" s="26"/>
    </row>
    <row r="34" spans="4:31" x14ac:dyDescent="0.35">
      <c r="E34">
        <v>1</v>
      </c>
      <c r="F34">
        <v>2</v>
      </c>
      <c r="G34">
        <v>3</v>
      </c>
      <c r="K34">
        <v>1</v>
      </c>
      <c r="L34">
        <v>2</v>
      </c>
      <c r="M34">
        <v>3</v>
      </c>
      <c r="X34" s="26"/>
      <c r="Y34" s="27"/>
      <c r="Z34" s="27"/>
      <c r="AA34" s="27"/>
      <c r="AB34" s="26"/>
      <c r="AC34" s="26"/>
      <c r="AD34" s="26"/>
      <c r="AE34" s="26"/>
    </row>
    <row r="35" spans="4:31" x14ac:dyDescent="0.35">
      <c r="D35" s="26">
        <v>3</v>
      </c>
      <c r="E35" s="16">
        <f>$L$2</f>
        <v>5.9999999999999995E-4</v>
      </c>
      <c r="F35" s="16">
        <f>$M$2</f>
        <v>1.77E-2</v>
      </c>
      <c r="G35" s="16">
        <f>$N$2</f>
        <v>0.98170000000000002</v>
      </c>
      <c r="K35" s="16">
        <f>D36*E35</f>
        <v>1.2520463155200001E-9</v>
      </c>
      <c r="L35" s="16">
        <f>D36*F35</f>
        <v>3.6935366307840007E-8</v>
      </c>
      <c r="M35" s="16">
        <f>D36*G35</f>
        <v>2.0485564465766405E-6</v>
      </c>
      <c r="P35" s="16"/>
      <c r="Q35" s="16"/>
      <c r="R35" s="16"/>
      <c r="X35" s="26"/>
      <c r="Y35" s="26"/>
      <c r="Z35" s="26"/>
      <c r="AA35" s="26"/>
      <c r="AB35" s="26"/>
      <c r="AC35" s="26"/>
      <c r="AD35" s="26"/>
      <c r="AE35" s="26"/>
    </row>
    <row r="36" spans="4:31" x14ac:dyDescent="0.35">
      <c r="D36" s="27">
        <v>2.0867438592000004E-6</v>
      </c>
      <c r="X36" s="26"/>
      <c r="Y36" s="25"/>
      <c r="Z36" s="25"/>
      <c r="AA36" s="25"/>
      <c r="AB36" s="25"/>
      <c r="AC36" s="25"/>
      <c r="AD36" s="26"/>
      <c r="AE36" s="26"/>
    </row>
    <row r="37" spans="4:31" x14ac:dyDescent="0.35">
      <c r="X37" s="26"/>
      <c r="Y37" s="26"/>
      <c r="Z37" s="26"/>
      <c r="AA37" s="26"/>
      <c r="AB37" s="26"/>
      <c r="AC37" s="26"/>
      <c r="AD37" s="26"/>
      <c r="AE37" s="26"/>
    </row>
    <row r="38" spans="4:31" x14ac:dyDescent="0.35">
      <c r="E38">
        <v>1</v>
      </c>
      <c r="F38">
        <v>2</v>
      </c>
      <c r="G38">
        <v>3</v>
      </c>
      <c r="K38">
        <v>1</v>
      </c>
      <c r="L38">
        <v>2</v>
      </c>
      <c r="M38">
        <v>3</v>
      </c>
      <c r="X38" s="26"/>
      <c r="Y38" s="27"/>
      <c r="Z38" s="27"/>
      <c r="AA38" s="27"/>
      <c r="AB38" s="26"/>
      <c r="AC38" s="26"/>
      <c r="AD38" s="26"/>
      <c r="AE38" s="26"/>
    </row>
    <row r="39" spans="4:31" x14ac:dyDescent="0.35">
      <c r="D39" s="26">
        <v>1</v>
      </c>
      <c r="E39" s="16">
        <f>$F$2</f>
        <v>0.94640000000000002</v>
      </c>
      <c r="F39" s="16">
        <f>$G$2</f>
        <v>2.6100000000000002E-2</v>
      </c>
      <c r="G39" s="16">
        <f>$H$2</f>
        <v>2.75E-2</v>
      </c>
      <c r="K39" s="16">
        <f>D40*E39</f>
        <v>8.8671623040000003E-9</v>
      </c>
      <c r="L39" s="16">
        <f>D40*F39</f>
        <v>2.4454029600000003E-10</v>
      </c>
      <c r="M39" s="16">
        <f>D40*G39</f>
        <v>2.5765740000000002E-10</v>
      </c>
      <c r="P39" s="16"/>
      <c r="Q39" s="16"/>
      <c r="R39" s="16"/>
      <c r="X39" s="26"/>
      <c r="Y39" s="26"/>
      <c r="Z39" s="26"/>
      <c r="AA39" s="26"/>
      <c r="AB39" s="26"/>
      <c r="AC39" s="26"/>
      <c r="AD39" s="26"/>
      <c r="AE39" s="26"/>
    </row>
    <row r="40" spans="4:31" x14ac:dyDescent="0.35">
      <c r="D40" s="27">
        <v>9.36936E-9</v>
      </c>
      <c r="X40" s="26"/>
      <c r="Y40" s="26"/>
      <c r="Z40" s="26"/>
      <c r="AA40" s="26"/>
      <c r="AB40" s="26"/>
      <c r="AC40" s="26"/>
      <c r="AD40" s="26"/>
      <c r="AE40" s="26"/>
    </row>
    <row r="41" spans="4:31" x14ac:dyDescent="0.35">
      <c r="X41" s="26"/>
      <c r="Y41" s="26"/>
      <c r="Z41" s="26"/>
      <c r="AA41" s="26"/>
      <c r="AB41" s="26"/>
      <c r="AC41" s="26"/>
      <c r="AD41" s="26"/>
      <c r="AE41" s="26"/>
    </row>
    <row r="42" spans="4:31" x14ac:dyDescent="0.35">
      <c r="E42">
        <v>1</v>
      </c>
      <c r="F42">
        <v>2</v>
      </c>
      <c r="G42">
        <v>3</v>
      </c>
      <c r="K42">
        <v>1</v>
      </c>
      <c r="L42">
        <v>2</v>
      </c>
      <c r="M42">
        <v>3</v>
      </c>
      <c r="X42" s="26"/>
      <c r="Y42" s="26"/>
      <c r="Z42" s="26"/>
      <c r="AA42" s="26"/>
      <c r="AB42" s="26"/>
      <c r="AC42" s="26"/>
      <c r="AD42" s="26"/>
      <c r="AE42" s="26"/>
    </row>
    <row r="43" spans="4:31" x14ac:dyDescent="0.35">
      <c r="D43" s="26">
        <v>2</v>
      </c>
      <c r="E43" s="16">
        <f>$I$2</f>
        <v>0.14080000000000001</v>
      </c>
      <c r="F43" s="16">
        <f>$J$2</f>
        <v>0.32979999999999998</v>
      </c>
      <c r="G43" s="16">
        <f>$K$2</f>
        <v>0.52939999999999998</v>
      </c>
      <c r="K43" s="16">
        <f>D44*E43</f>
        <v>1.319205888E-9</v>
      </c>
      <c r="L43" s="16">
        <f>D44*F43</f>
        <v>3.0900149279999997E-9</v>
      </c>
      <c r="M43" s="16">
        <f>D44*G43</f>
        <v>4.960139184E-9</v>
      </c>
      <c r="P43" s="16"/>
      <c r="Q43" s="16"/>
      <c r="R43" s="16"/>
      <c r="X43" s="26"/>
      <c r="Y43" s="26"/>
      <c r="Z43" s="26"/>
      <c r="AA43" s="26"/>
      <c r="AB43" s="26"/>
      <c r="AC43" s="26"/>
      <c r="AD43" s="26"/>
      <c r="AE43" s="26"/>
    </row>
    <row r="44" spans="4:31" x14ac:dyDescent="0.35">
      <c r="D44" s="27">
        <v>9.36936E-9</v>
      </c>
      <c r="X44" s="26"/>
      <c r="Y44" s="26"/>
      <c r="Z44" s="26"/>
      <c r="AA44" s="26"/>
      <c r="AB44" s="26"/>
      <c r="AC44" s="26"/>
      <c r="AD44" s="26"/>
      <c r="AE44" s="26"/>
    </row>
    <row r="45" spans="4:31" x14ac:dyDescent="0.35">
      <c r="Q45" s="16"/>
      <c r="R45" s="16"/>
      <c r="X45" s="26"/>
      <c r="Y45" s="26"/>
      <c r="Z45" s="26"/>
      <c r="AA45" s="26"/>
      <c r="AB45" s="26"/>
      <c r="AC45" s="26"/>
      <c r="AD45" s="26"/>
      <c r="AE45" s="26"/>
    </row>
    <row r="46" spans="4:31" x14ac:dyDescent="0.35">
      <c r="E46">
        <v>1</v>
      </c>
      <c r="F46">
        <v>2</v>
      </c>
      <c r="G46">
        <v>3</v>
      </c>
      <c r="K46">
        <v>1</v>
      </c>
      <c r="L46">
        <v>2</v>
      </c>
      <c r="M46">
        <v>3</v>
      </c>
      <c r="X46" s="26"/>
      <c r="Y46" s="26"/>
      <c r="Z46" s="26"/>
      <c r="AA46" s="26"/>
      <c r="AB46" s="26"/>
      <c r="AC46" s="26"/>
      <c r="AD46" s="26"/>
      <c r="AE46" s="26"/>
    </row>
    <row r="47" spans="4:31" x14ac:dyDescent="0.35">
      <c r="D47" s="26">
        <v>3</v>
      </c>
      <c r="E47" s="16">
        <f>$L$2</f>
        <v>5.9999999999999995E-4</v>
      </c>
      <c r="F47" s="16">
        <f>$M$2</f>
        <v>1.77E-2</v>
      </c>
      <c r="G47" s="16">
        <f>$N$2</f>
        <v>0.98170000000000002</v>
      </c>
      <c r="K47" s="16">
        <f>D48*E47</f>
        <v>5.6216159999999997E-12</v>
      </c>
      <c r="L47" s="16">
        <f>D48*F47</f>
        <v>1.6583767199999999E-10</v>
      </c>
      <c r="M47" s="16">
        <f>D48*G47</f>
        <v>9.1979007120000006E-9</v>
      </c>
      <c r="P47" s="16"/>
      <c r="Q47" s="16"/>
      <c r="R47" s="16"/>
      <c r="X47" s="26"/>
      <c r="Y47" s="26"/>
      <c r="Z47" s="26"/>
      <c r="AA47" s="26"/>
      <c r="AB47" s="26"/>
      <c r="AC47" s="26"/>
      <c r="AD47" s="26"/>
      <c r="AE47" s="26"/>
    </row>
    <row r="48" spans="4:31" x14ac:dyDescent="0.35">
      <c r="D48" s="27">
        <v>9.36936E-9</v>
      </c>
      <c r="X48" s="26"/>
      <c r="Y48" s="26"/>
      <c r="Z48" s="26"/>
      <c r="AA48" s="26"/>
      <c r="AB48" s="26"/>
      <c r="AC48" s="26"/>
      <c r="AD48" s="26"/>
      <c r="AE48" s="26"/>
    </row>
    <row r="49" spans="4:31" x14ac:dyDescent="0.35">
      <c r="X49" s="26"/>
      <c r="Y49" s="26"/>
      <c r="Z49" s="26"/>
      <c r="AA49" s="26"/>
      <c r="AB49" s="26"/>
      <c r="AC49" s="26"/>
      <c r="AD49" s="26"/>
      <c r="AE49" s="26"/>
    </row>
    <row r="50" spans="4:31" x14ac:dyDescent="0.35">
      <c r="E50">
        <v>1</v>
      </c>
      <c r="F50">
        <v>2</v>
      </c>
      <c r="G50">
        <v>3</v>
      </c>
      <c r="K50">
        <v>1</v>
      </c>
      <c r="L50">
        <v>2</v>
      </c>
      <c r="M50">
        <v>3</v>
      </c>
      <c r="X50" s="26"/>
      <c r="Y50" s="26"/>
      <c r="Z50" s="26"/>
      <c r="AA50" s="26"/>
      <c r="AB50" s="26"/>
      <c r="AC50" s="26"/>
      <c r="AD50" s="26"/>
      <c r="AE50" s="26"/>
    </row>
    <row r="51" spans="4:31" x14ac:dyDescent="0.35">
      <c r="D51" s="26">
        <v>1</v>
      </c>
      <c r="E51" s="16">
        <f>$F$2</f>
        <v>0.94640000000000002</v>
      </c>
      <c r="F51" s="16">
        <f>$G$2</f>
        <v>2.6100000000000002E-2</v>
      </c>
      <c r="G51" s="16">
        <f>$H$2</f>
        <v>2.75E-2</v>
      </c>
      <c r="K51" s="16">
        <f>D52*E51</f>
        <v>8.8671623040000003E-9</v>
      </c>
      <c r="L51" s="16">
        <f>D52*F51</f>
        <v>2.4454029600000003E-10</v>
      </c>
      <c r="M51" s="16">
        <f>D52*G51</f>
        <v>2.5765740000000002E-10</v>
      </c>
      <c r="P51" s="16"/>
      <c r="Q51" s="16"/>
      <c r="R51" s="16"/>
      <c r="X51" s="26"/>
      <c r="Y51" s="26"/>
      <c r="Z51" s="26"/>
      <c r="AA51" s="26"/>
      <c r="AB51" s="26"/>
      <c r="AC51" s="26"/>
      <c r="AD51" s="26"/>
      <c r="AE51" s="26"/>
    </row>
    <row r="52" spans="4:31" x14ac:dyDescent="0.35">
      <c r="D52" s="27">
        <v>9.36936E-9</v>
      </c>
      <c r="X52" s="26"/>
      <c r="Y52" s="26"/>
      <c r="Z52" s="26"/>
      <c r="AA52" s="26"/>
      <c r="AB52" s="26"/>
      <c r="AC52" s="26"/>
      <c r="AD52" s="26"/>
      <c r="AE52" s="26"/>
    </row>
    <row r="53" spans="4:31" x14ac:dyDescent="0.35">
      <c r="X53" s="26"/>
      <c r="Y53" s="26"/>
      <c r="Z53" s="26"/>
      <c r="AA53" s="26"/>
      <c r="AB53" s="26"/>
      <c r="AC53" s="26"/>
      <c r="AD53" s="26"/>
      <c r="AE53" s="26"/>
    </row>
    <row r="54" spans="4:31" x14ac:dyDescent="0.35">
      <c r="E54">
        <v>1</v>
      </c>
      <c r="F54">
        <v>2</v>
      </c>
      <c r="G54">
        <v>3</v>
      </c>
      <c r="K54">
        <v>1</v>
      </c>
      <c r="L54">
        <v>2</v>
      </c>
      <c r="M54">
        <v>3</v>
      </c>
      <c r="X54" s="26"/>
      <c r="Y54" s="26"/>
      <c r="Z54" s="26"/>
      <c r="AA54" s="26"/>
      <c r="AB54" s="26"/>
      <c r="AC54" s="26"/>
      <c r="AD54" s="26"/>
      <c r="AE54" s="26"/>
    </row>
    <row r="55" spans="4:31" x14ac:dyDescent="0.35">
      <c r="D55" s="26">
        <v>2</v>
      </c>
      <c r="E55" s="16">
        <f>$I$2</f>
        <v>0.14080000000000001</v>
      </c>
      <c r="F55" s="16">
        <f>$J$2</f>
        <v>0.32979999999999998</v>
      </c>
      <c r="G55" s="16">
        <f>$K$2</f>
        <v>0.52939999999999998</v>
      </c>
      <c r="K55" s="16">
        <f>D56*E55</f>
        <v>1.319205888E-9</v>
      </c>
      <c r="L55" s="16">
        <f>D56*F55</f>
        <v>3.0900149279999997E-9</v>
      </c>
      <c r="M55" s="16">
        <f>D56*G55</f>
        <v>4.960139184E-9</v>
      </c>
      <c r="P55" s="16"/>
      <c r="Q55" s="16"/>
      <c r="R55" s="16"/>
      <c r="X55" s="26"/>
      <c r="Y55" s="26"/>
      <c r="Z55" s="26"/>
      <c r="AA55" s="26"/>
      <c r="AB55" s="26"/>
      <c r="AC55" s="26"/>
      <c r="AD55" s="26"/>
      <c r="AE55" s="26"/>
    </row>
    <row r="56" spans="4:31" x14ac:dyDescent="0.35">
      <c r="D56" s="27">
        <v>9.36936E-9</v>
      </c>
      <c r="X56" s="26"/>
      <c r="Y56" s="26"/>
      <c r="Z56" s="26"/>
      <c r="AA56" s="26"/>
      <c r="AB56" s="26"/>
      <c r="AC56" s="26"/>
      <c r="AD56" s="26"/>
      <c r="AE56" s="26"/>
    </row>
    <row r="57" spans="4:31" x14ac:dyDescent="0.35">
      <c r="X57" s="26"/>
      <c r="Y57" s="26"/>
      <c r="Z57" s="26"/>
      <c r="AA57" s="26"/>
      <c r="AB57" s="26"/>
      <c r="AC57" s="26"/>
      <c r="AD57" s="26"/>
      <c r="AE57" s="26"/>
    </row>
    <row r="58" spans="4:31" x14ac:dyDescent="0.35">
      <c r="E58">
        <v>1</v>
      </c>
      <c r="F58">
        <v>2</v>
      </c>
      <c r="G58">
        <v>3</v>
      </c>
      <c r="K58">
        <v>1</v>
      </c>
      <c r="L58">
        <v>2</v>
      </c>
      <c r="M58">
        <v>3</v>
      </c>
      <c r="X58" s="26"/>
      <c r="Y58" s="26"/>
      <c r="Z58" s="26"/>
      <c r="AA58" s="26"/>
      <c r="AB58" s="26"/>
      <c r="AC58" s="26"/>
      <c r="AD58" s="26"/>
      <c r="AE58" s="26"/>
    </row>
    <row r="59" spans="4:31" x14ac:dyDescent="0.35">
      <c r="D59" s="26">
        <v>3</v>
      </c>
      <c r="E59" s="16">
        <f>$L$2</f>
        <v>5.9999999999999995E-4</v>
      </c>
      <c r="F59" s="16">
        <f>$M$2</f>
        <v>1.77E-2</v>
      </c>
      <c r="G59" s="16">
        <f>$N$2</f>
        <v>0.98170000000000002</v>
      </c>
      <c r="K59" s="16">
        <f>D60*E59</f>
        <v>5.6216159999999997E-12</v>
      </c>
      <c r="L59" s="16">
        <f>D60*F59</f>
        <v>1.6583767199999999E-10</v>
      </c>
      <c r="M59" s="16">
        <f>D60*G59</f>
        <v>9.1979007120000006E-9</v>
      </c>
      <c r="P59" s="16"/>
      <c r="Q59" s="16"/>
      <c r="R59" s="16"/>
      <c r="X59" s="26"/>
      <c r="Y59" s="26"/>
      <c r="Z59" s="26"/>
      <c r="AA59" s="26"/>
      <c r="AB59" s="26"/>
      <c r="AC59" s="26"/>
      <c r="AD59" s="26"/>
      <c r="AE59" s="26"/>
    </row>
    <row r="60" spans="4:31" x14ac:dyDescent="0.35">
      <c r="D60" s="27">
        <v>9.36936E-9</v>
      </c>
      <c r="X60" s="26"/>
      <c r="Y60" s="26"/>
      <c r="Z60" s="26"/>
      <c r="AA60" s="26"/>
      <c r="AB60" s="26"/>
      <c r="AC60" s="26"/>
      <c r="AD60" s="26"/>
      <c r="AE60" s="26"/>
    </row>
    <row r="61" spans="4:31" x14ac:dyDescent="0.35">
      <c r="X61" s="26"/>
      <c r="Y61" s="26"/>
      <c r="Z61" s="26"/>
      <c r="AA61" s="26"/>
      <c r="AB61" s="26"/>
      <c r="AC61" s="26"/>
      <c r="AD61" s="26"/>
      <c r="AE61" s="26"/>
    </row>
    <row r="62" spans="4:31" x14ac:dyDescent="0.35">
      <c r="E62">
        <v>1</v>
      </c>
      <c r="F62">
        <v>2</v>
      </c>
      <c r="G62">
        <v>3</v>
      </c>
      <c r="K62">
        <v>1</v>
      </c>
      <c r="L62">
        <v>2</v>
      </c>
      <c r="M62">
        <v>3</v>
      </c>
      <c r="X62" s="26"/>
      <c r="Y62" s="26"/>
      <c r="Z62" s="26"/>
      <c r="AA62" s="26"/>
      <c r="AB62" s="26"/>
      <c r="AC62" s="26"/>
      <c r="AD62" s="26"/>
      <c r="AE62" s="26"/>
    </row>
    <row r="63" spans="4:31" x14ac:dyDescent="0.35">
      <c r="D63" s="26">
        <v>1</v>
      </c>
      <c r="E63" s="16">
        <f>$F$2</f>
        <v>0.94640000000000002</v>
      </c>
      <c r="F63" s="16">
        <f>$G$2</f>
        <v>2.6100000000000002E-2</v>
      </c>
      <c r="G63" s="16">
        <f>$H$2</f>
        <v>2.75E-2</v>
      </c>
      <c r="K63" s="16">
        <f>D64*E63</f>
        <v>1.9748943883468802E-6</v>
      </c>
      <c r="L63" s="16">
        <f>D64*F63</f>
        <v>5.4464014725120013E-8</v>
      </c>
      <c r="M63" s="16">
        <f>D64*G63</f>
        <v>5.7385456128000013E-8</v>
      </c>
      <c r="P63" s="16"/>
      <c r="Q63" s="16"/>
      <c r="R63" s="16"/>
      <c r="X63" s="26"/>
      <c r="Y63" s="26"/>
      <c r="Z63" s="26"/>
      <c r="AA63" s="26"/>
      <c r="AB63" s="26"/>
      <c r="AC63" s="26"/>
      <c r="AD63" s="26"/>
      <c r="AE63" s="26"/>
    </row>
    <row r="64" spans="4:31" x14ac:dyDescent="0.35">
      <c r="D64" s="27">
        <v>2.0867438592000004E-6</v>
      </c>
      <c r="X64" s="26"/>
      <c r="Y64" s="26"/>
      <c r="Z64" s="26"/>
      <c r="AA64" s="26"/>
      <c r="AB64" s="26"/>
      <c r="AC64" s="26"/>
      <c r="AD64" s="26"/>
      <c r="AE64" s="26"/>
    </row>
    <row r="65" spans="4:31" x14ac:dyDescent="0.35">
      <c r="X65" s="26"/>
      <c r="Y65" s="26"/>
      <c r="Z65" s="26"/>
      <c r="AA65" s="26"/>
      <c r="AB65" s="26"/>
      <c r="AC65" s="26"/>
      <c r="AD65" s="26"/>
      <c r="AE65" s="26"/>
    </row>
    <row r="66" spans="4:31" x14ac:dyDescent="0.35">
      <c r="E66">
        <v>1</v>
      </c>
      <c r="F66">
        <v>2</v>
      </c>
      <c r="G66">
        <v>3</v>
      </c>
      <c r="K66">
        <v>1</v>
      </c>
      <c r="L66">
        <v>2</v>
      </c>
      <c r="M66">
        <v>3</v>
      </c>
      <c r="X66" s="26"/>
      <c r="Y66" s="26"/>
      <c r="Z66" s="26"/>
      <c r="AA66" s="26"/>
      <c r="AB66" s="26"/>
      <c r="AC66" s="26"/>
      <c r="AD66" s="26"/>
      <c r="AE66" s="26"/>
    </row>
    <row r="67" spans="4:31" x14ac:dyDescent="0.35">
      <c r="D67" s="26">
        <v>2</v>
      </c>
      <c r="E67" s="16">
        <f>$I$2</f>
        <v>0.14080000000000001</v>
      </c>
      <c r="F67" s="16">
        <f>$J$2</f>
        <v>0.32979999999999998</v>
      </c>
      <c r="G67" s="16">
        <f>$K$2</f>
        <v>0.52939999999999998</v>
      </c>
      <c r="K67" s="16">
        <f>D68*E67</f>
        <v>2.9381353537536008E-7</v>
      </c>
      <c r="L67" s="16">
        <f>D68*F67</f>
        <v>6.8820812476416005E-7</v>
      </c>
      <c r="M67" s="16">
        <f>D68*G67</f>
        <v>1.1047221990604802E-6</v>
      </c>
      <c r="P67" s="16"/>
      <c r="Q67" s="16"/>
      <c r="R67" s="16"/>
      <c r="X67" s="26"/>
      <c r="Y67" s="26"/>
      <c r="Z67" s="26"/>
      <c r="AA67" s="26"/>
      <c r="AB67" s="26"/>
      <c r="AC67" s="26"/>
      <c r="AD67" s="26"/>
      <c r="AE67" s="26"/>
    </row>
    <row r="68" spans="4:31" x14ac:dyDescent="0.35">
      <c r="D68" s="27">
        <v>2.0867438592000004E-6</v>
      </c>
      <c r="X68" s="26"/>
      <c r="Y68" s="26"/>
      <c r="Z68" s="26"/>
      <c r="AA68" s="26"/>
      <c r="AB68" s="26"/>
      <c r="AC68" s="26"/>
      <c r="AD68" s="26"/>
      <c r="AE68" s="26"/>
    </row>
    <row r="69" spans="4:31" x14ac:dyDescent="0.35">
      <c r="X69" s="26"/>
      <c r="Y69" s="26"/>
      <c r="Z69" s="26"/>
      <c r="AA69" s="26"/>
      <c r="AB69" s="26"/>
      <c r="AC69" s="26"/>
      <c r="AD69" s="26"/>
      <c r="AE69" s="26"/>
    </row>
    <row r="70" spans="4:31" x14ac:dyDescent="0.35">
      <c r="E70">
        <v>1</v>
      </c>
      <c r="F70">
        <v>2</v>
      </c>
      <c r="G70">
        <v>3</v>
      </c>
      <c r="K70">
        <v>1</v>
      </c>
      <c r="L70">
        <v>2</v>
      </c>
      <c r="M70">
        <v>3</v>
      </c>
      <c r="X70" s="26"/>
      <c r="Y70" s="26"/>
      <c r="Z70" s="26"/>
      <c r="AA70" s="26"/>
      <c r="AB70" s="26"/>
      <c r="AC70" s="26"/>
      <c r="AD70" s="26"/>
      <c r="AE70" s="26"/>
    </row>
    <row r="71" spans="4:31" x14ac:dyDescent="0.35">
      <c r="D71" s="26">
        <v>3</v>
      </c>
      <c r="E71" s="16">
        <f>$L$2</f>
        <v>5.9999999999999995E-4</v>
      </c>
      <c r="F71" s="16">
        <f>$M$2</f>
        <v>1.77E-2</v>
      </c>
      <c r="G71" s="16">
        <f>$N$2</f>
        <v>0.98170000000000002</v>
      </c>
      <c r="K71" s="16">
        <f>D72*E71</f>
        <v>1.2520463155200001E-9</v>
      </c>
      <c r="L71" s="16">
        <f>D72*F71</f>
        <v>3.6935366307840007E-8</v>
      </c>
      <c r="M71" s="16">
        <f>D72*G71</f>
        <v>2.0485564465766405E-6</v>
      </c>
      <c r="P71" s="16"/>
      <c r="Q71" s="16"/>
      <c r="R71" s="16"/>
      <c r="X71" s="26"/>
      <c r="Y71" s="26"/>
      <c r="Z71" s="26"/>
      <c r="AA71" s="26"/>
      <c r="AB71" s="26"/>
      <c r="AC71" s="26"/>
      <c r="AD71" s="26"/>
      <c r="AE71" s="26"/>
    </row>
    <row r="72" spans="4:31" x14ac:dyDescent="0.35">
      <c r="D72" s="27">
        <v>2.0867438592000004E-6</v>
      </c>
      <c r="X72" s="26"/>
      <c r="Y72" s="26"/>
      <c r="Z72" s="26"/>
      <c r="AA72" s="26"/>
      <c r="AB72" s="26"/>
      <c r="AC72" s="26"/>
      <c r="AD72" s="26"/>
      <c r="AE72" s="26"/>
    </row>
    <row r="73" spans="4:31" x14ac:dyDescent="0.35">
      <c r="X73" s="26"/>
      <c r="Y73" s="26"/>
      <c r="Z73" s="26"/>
      <c r="AA73" s="26"/>
      <c r="AB73" s="26"/>
      <c r="AC73" s="26"/>
      <c r="AD73" s="26"/>
      <c r="AE73" s="26"/>
    </row>
    <row r="74" spans="4:31" x14ac:dyDescent="0.35">
      <c r="E74">
        <v>1</v>
      </c>
      <c r="F74">
        <v>2</v>
      </c>
      <c r="G74">
        <v>3</v>
      </c>
      <c r="K74">
        <v>1</v>
      </c>
      <c r="L74">
        <v>2</v>
      </c>
      <c r="M74">
        <v>3</v>
      </c>
      <c r="X74" s="26"/>
      <c r="Y74" s="26"/>
      <c r="Z74" s="26"/>
      <c r="AA74" s="26"/>
      <c r="AB74" s="26"/>
      <c r="AC74" s="26"/>
      <c r="AD74" s="26"/>
      <c r="AE74" s="26"/>
    </row>
    <row r="75" spans="4:31" x14ac:dyDescent="0.35">
      <c r="D75" s="26">
        <v>1</v>
      </c>
      <c r="E75" s="16">
        <f>$F$2</f>
        <v>0.94640000000000002</v>
      </c>
      <c r="F75" s="16">
        <f>$G$2</f>
        <v>2.6100000000000002E-2</v>
      </c>
      <c r="G75" s="16">
        <f>$H$2</f>
        <v>2.75E-2</v>
      </c>
      <c r="K75" s="16">
        <f>D76*E75</f>
        <v>6.8820812476416005E-7</v>
      </c>
      <c r="L75" s="16">
        <f>D76*F75</f>
        <v>1.8979535139840004E-8</v>
      </c>
      <c r="M75" s="16">
        <f>D76*G75</f>
        <v>1.9997594496000002E-8</v>
      </c>
      <c r="P75" s="16"/>
      <c r="Q75" s="16"/>
      <c r="R75" s="16"/>
      <c r="X75" s="26"/>
      <c r="Y75" s="26"/>
      <c r="Z75" s="26"/>
      <c r="AA75" s="26"/>
      <c r="AB75" s="26"/>
      <c r="AC75" s="26"/>
      <c r="AD75" s="26"/>
      <c r="AE75" s="26"/>
    </row>
    <row r="76" spans="4:31" x14ac:dyDescent="0.35">
      <c r="D76" s="27">
        <v>7.2718525440000006E-7</v>
      </c>
      <c r="X76" s="26"/>
      <c r="Y76" s="26"/>
      <c r="Z76" s="26"/>
      <c r="AA76" s="26"/>
      <c r="AB76" s="26"/>
      <c r="AC76" s="26"/>
      <c r="AD76" s="26"/>
      <c r="AE76" s="26"/>
    </row>
    <row r="77" spans="4:31" x14ac:dyDescent="0.35">
      <c r="X77" s="26"/>
      <c r="Y77" s="26"/>
      <c r="Z77" s="26"/>
      <c r="AA77" s="26"/>
      <c r="AB77" s="26"/>
      <c r="AC77" s="26"/>
      <c r="AD77" s="26"/>
      <c r="AE77" s="26"/>
    </row>
    <row r="78" spans="4:31" x14ac:dyDescent="0.35">
      <c r="E78">
        <v>1</v>
      </c>
      <c r="F78">
        <v>2</v>
      </c>
      <c r="G78">
        <v>3</v>
      </c>
      <c r="K78">
        <v>1</v>
      </c>
      <c r="L78">
        <v>2</v>
      </c>
      <c r="M78">
        <v>3</v>
      </c>
      <c r="X78" s="26"/>
      <c r="Y78" s="26"/>
      <c r="Z78" s="26"/>
      <c r="AA78" s="26"/>
      <c r="AB78" s="26"/>
      <c r="AC78" s="26"/>
      <c r="AD78" s="26"/>
      <c r="AE78" s="26"/>
    </row>
    <row r="79" spans="4:31" x14ac:dyDescent="0.35">
      <c r="D79" s="26">
        <v>2</v>
      </c>
      <c r="E79" s="16">
        <f>$I$2</f>
        <v>0.14080000000000001</v>
      </c>
      <c r="F79" s="16">
        <f>$J$2</f>
        <v>0.32979999999999998</v>
      </c>
      <c r="G79" s="16">
        <f>$K$2</f>
        <v>0.52939999999999998</v>
      </c>
      <c r="K79" s="16">
        <f>D80*E79</f>
        <v>1.0238768381952001E-7</v>
      </c>
      <c r="L79" s="16">
        <f>D80*F79</f>
        <v>2.3982569690112003E-7</v>
      </c>
      <c r="M79" s="16">
        <f>D80*G79</f>
        <v>3.8497187367936003E-7</v>
      </c>
      <c r="P79" s="16"/>
      <c r="Q79" s="16"/>
      <c r="R79" s="16"/>
      <c r="X79" s="26"/>
      <c r="Y79" s="26"/>
      <c r="Z79" s="26"/>
      <c r="AA79" s="26"/>
      <c r="AB79" s="26"/>
      <c r="AC79" s="26"/>
      <c r="AD79" s="26"/>
      <c r="AE79" s="26"/>
    </row>
    <row r="80" spans="4:31" x14ac:dyDescent="0.35">
      <c r="D80" s="27">
        <v>7.2718525440000006E-7</v>
      </c>
      <c r="X80" s="26"/>
      <c r="Y80" s="26"/>
      <c r="Z80" s="26"/>
      <c r="AA80" s="26"/>
      <c r="AB80" s="26"/>
      <c r="AC80" s="26"/>
      <c r="AD80" s="26"/>
      <c r="AE80" s="26"/>
    </row>
    <row r="81" spans="4:31" x14ac:dyDescent="0.35">
      <c r="X81" s="26"/>
      <c r="Y81" s="26"/>
      <c r="Z81" s="26"/>
      <c r="AA81" s="26"/>
      <c r="AB81" s="26"/>
      <c r="AC81" s="26"/>
      <c r="AD81" s="26"/>
      <c r="AE81" s="26"/>
    </row>
    <row r="82" spans="4:31" x14ac:dyDescent="0.35">
      <c r="E82">
        <v>1</v>
      </c>
      <c r="F82">
        <v>2</v>
      </c>
      <c r="G82">
        <v>3</v>
      </c>
      <c r="K82">
        <v>1</v>
      </c>
      <c r="L82">
        <v>2</v>
      </c>
      <c r="M82">
        <v>3</v>
      </c>
      <c r="X82" s="26"/>
      <c r="Y82" s="26"/>
      <c r="Z82" s="26"/>
      <c r="AA82" s="26"/>
      <c r="AB82" s="26"/>
      <c r="AC82" s="26"/>
      <c r="AD82" s="26"/>
      <c r="AE82" s="26"/>
    </row>
    <row r="83" spans="4:31" x14ac:dyDescent="0.35">
      <c r="D83" s="26">
        <v>3</v>
      </c>
      <c r="E83" s="16">
        <f>$L$2</f>
        <v>5.9999999999999995E-4</v>
      </c>
      <c r="F83" s="16">
        <f>$M$2</f>
        <v>1.77E-2</v>
      </c>
      <c r="G83" s="16">
        <f>$N$2</f>
        <v>0.98170000000000002</v>
      </c>
      <c r="K83" s="16">
        <f>D84*E83</f>
        <v>4.3631115263999999E-10</v>
      </c>
      <c r="L83" s="16">
        <f>D84*F83</f>
        <v>1.2871179002880002E-8</v>
      </c>
      <c r="M83" s="16">
        <f>D84*G83</f>
        <v>7.1387776424448005E-7</v>
      </c>
      <c r="P83" s="16"/>
      <c r="Q83" s="16"/>
      <c r="R83" s="16"/>
      <c r="X83" s="26"/>
      <c r="Y83" s="26"/>
      <c r="Z83" s="26"/>
      <c r="AA83" s="26"/>
      <c r="AB83" s="26"/>
      <c r="AC83" s="26"/>
      <c r="AD83" s="26"/>
      <c r="AE83" s="26"/>
    </row>
    <row r="84" spans="4:31" x14ac:dyDescent="0.35">
      <c r="D84" s="27">
        <v>7.2718525440000006E-7</v>
      </c>
      <c r="X84" s="26"/>
      <c r="Y84" s="26"/>
      <c r="Z84" s="26"/>
      <c r="AA84" s="26"/>
      <c r="AB84" s="26"/>
      <c r="AC84" s="26"/>
      <c r="AD84" s="26"/>
      <c r="AE84" s="26"/>
    </row>
    <row r="85" spans="4:31" x14ac:dyDescent="0.35">
      <c r="X85" s="26"/>
      <c r="Y85" s="26"/>
      <c r="Z85" s="26"/>
      <c r="AA85" s="26"/>
      <c r="AB85" s="26"/>
      <c r="AC85" s="26"/>
      <c r="AD85" s="26"/>
      <c r="AE85" s="26"/>
    </row>
    <row r="86" spans="4:31" x14ac:dyDescent="0.35">
      <c r="E86">
        <v>1</v>
      </c>
      <c r="F86">
        <v>2</v>
      </c>
      <c r="G86">
        <v>3</v>
      </c>
      <c r="K86">
        <v>1</v>
      </c>
      <c r="L86">
        <v>2</v>
      </c>
      <c r="M86">
        <v>3</v>
      </c>
      <c r="X86" s="26"/>
      <c r="Y86" s="26"/>
      <c r="Z86" s="26"/>
      <c r="AA86" s="26"/>
      <c r="AB86" s="26"/>
      <c r="AC86" s="26"/>
      <c r="AD86" s="26"/>
      <c r="AE86" s="26"/>
    </row>
    <row r="87" spans="4:31" x14ac:dyDescent="0.35">
      <c r="D87" s="26">
        <v>1</v>
      </c>
      <c r="E87" s="16">
        <f>$F$2</f>
        <v>0.94640000000000002</v>
      </c>
      <c r="F87" s="16">
        <f>$G$2</f>
        <v>2.6100000000000002E-2</v>
      </c>
      <c r="G87" s="16">
        <f>$H$2</f>
        <v>2.75E-2</v>
      </c>
      <c r="K87" s="16">
        <f>D88*E87</f>
        <v>4.7076230073599996E-9</v>
      </c>
      <c r="L87" s="16">
        <f>D88*F87</f>
        <v>1.2982772663999998E-10</v>
      </c>
      <c r="M87" s="16">
        <f>D88*G87</f>
        <v>1.3679166599999997E-10</v>
      </c>
      <c r="P87" s="16"/>
      <c r="Q87" s="16"/>
      <c r="R87" s="16"/>
      <c r="X87" s="26"/>
      <c r="Y87" s="26"/>
      <c r="Z87" s="26"/>
      <c r="AA87" s="26"/>
      <c r="AB87" s="26"/>
      <c r="AC87" s="26"/>
      <c r="AD87" s="26"/>
      <c r="AE87" s="26"/>
    </row>
    <row r="88" spans="4:31" x14ac:dyDescent="0.35">
      <c r="D88" s="27">
        <v>4.9742423999999991E-9</v>
      </c>
      <c r="X88" s="26"/>
      <c r="Y88" s="26"/>
      <c r="Z88" s="26"/>
      <c r="AA88" s="26"/>
      <c r="AB88" s="26"/>
      <c r="AC88" s="26"/>
      <c r="AD88" s="26"/>
      <c r="AE88" s="26"/>
    </row>
    <row r="89" spans="4:31" x14ac:dyDescent="0.35">
      <c r="X89" s="26"/>
      <c r="Y89" s="26"/>
      <c r="Z89" s="26"/>
      <c r="AA89" s="26"/>
      <c r="AB89" s="26"/>
      <c r="AC89" s="26"/>
      <c r="AD89" s="26"/>
      <c r="AE89" s="26"/>
    </row>
    <row r="90" spans="4:31" x14ac:dyDescent="0.35">
      <c r="E90">
        <v>1</v>
      </c>
      <c r="F90">
        <v>2</v>
      </c>
      <c r="G90">
        <v>3</v>
      </c>
      <c r="K90">
        <v>1</v>
      </c>
      <c r="L90">
        <v>2</v>
      </c>
      <c r="M90">
        <v>3</v>
      </c>
      <c r="X90" s="26"/>
      <c r="Y90" s="26"/>
      <c r="Z90" s="26"/>
      <c r="AA90" s="26"/>
      <c r="AB90" s="26"/>
      <c r="AC90" s="26"/>
      <c r="AD90" s="26"/>
      <c r="AE90" s="26"/>
    </row>
    <row r="91" spans="4:31" x14ac:dyDescent="0.35">
      <c r="D91" s="26">
        <v>2</v>
      </c>
      <c r="E91" s="16">
        <f>$I$2</f>
        <v>0.14080000000000001</v>
      </c>
      <c r="F91" s="16">
        <f>$J$2</f>
        <v>0.32979999999999998</v>
      </c>
      <c r="G91" s="16">
        <f>$K$2</f>
        <v>0.52939999999999998</v>
      </c>
      <c r="K91" s="16">
        <f>D92*E91</f>
        <v>7.0037332991999993E-10</v>
      </c>
      <c r="L91" s="16">
        <f>D92*F91</f>
        <v>1.6405051435199997E-9</v>
      </c>
      <c r="M91" s="16">
        <f>D92*G91</f>
        <v>2.6333639265599995E-9</v>
      </c>
      <c r="P91" s="16"/>
      <c r="Q91" s="16"/>
      <c r="R91" s="16"/>
      <c r="X91" s="26"/>
      <c r="Y91" s="26"/>
      <c r="Z91" s="26"/>
      <c r="AA91" s="26"/>
      <c r="AB91" s="26"/>
      <c r="AC91" s="26"/>
      <c r="AD91" s="26"/>
      <c r="AE91" s="26"/>
    </row>
    <row r="92" spans="4:31" x14ac:dyDescent="0.35">
      <c r="D92" s="27">
        <v>4.9742423999999991E-9</v>
      </c>
      <c r="X92" s="26"/>
      <c r="Y92" s="26"/>
      <c r="Z92" s="26"/>
      <c r="AA92" s="26"/>
      <c r="AB92" s="26"/>
      <c r="AC92" s="26"/>
      <c r="AD92" s="26"/>
      <c r="AE92" s="26"/>
    </row>
    <row r="93" spans="4:31" x14ac:dyDescent="0.35">
      <c r="X93" s="26"/>
      <c r="Y93" s="26"/>
      <c r="Z93" s="26"/>
      <c r="AA93" s="26"/>
      <c r="AB93" s="26"/>
      <c r="AC93" s="26"/>
      <c r="AD93" s="26"/>
      <c r="AE93" s="26"/>
    </row>
    <row r="94" spans="4:31" x14ac:dyDescent="0.35">
      <c r="E94">
        <v>1</v>
      </c>
      <c r="F94">
        <v>2</v>
      </c>
      <c r="G94">
        <v>3</v>
      </c>
      <c r="K94">
        <v>1</v>
      </c>
      <c r="L94">
        <v>2</v>
      </c>
      <c r="M94">
        <v>3</v>
      </c>
      <c r="X94" s="26"/>
      <c r="Y94" s="26"/>
      <c r="Z94" s="26"/>
      <c r="AA94" s="26"/>
      <c r="AB94" s="26"/>
      <c r="AC94" s="26"/>
      <c r="AD94" s="26"/>
      <c r="AE94" s="26"/>
    </row>
    <row r="95" spans="4:31" x14ac:dyDescent="0.35">
      <c r="D95" s="26">
        <v>3</v>
      </c>
      <c r="E95" s="16">
        <f>$L$2</f>
        <v>5.9999999999999995E-4</v>
      </c>
      <c r="F95" s="16">
        <f>$M$2</f>
        <v>1.77E-2</v>
      </c>
      <c r="G95" s="16">
        <f>$N$2</f>
        <v>0.98170000000000002</v>
      </c>
      <c r="K95" s="16">
        <f>D96*E95</f>
        <v>2.9845454399999991E-12</v>
      </c>
      <c r="L95" s="16">
        <f>D96*F95</f>
        <v>8.8044090479999981E-11</v>
      </c>
      <c r="M95" s="16">
        <f>D96*G95</f>
        <v>4.8832137640799988E-9</v>
      </c>
      <c r="P95" s="16"/>
      <c r="Q95" s="16"/>
      <c r="R95" s="16"/>
      <c r="X95" s="26"/>
      <c r="Y95" s="26"/>
      <c r="Z95" s="26"/>
      <c r="AA95" s="26"/>
      <c r="AB95" s="26"/>
      <c r="AC95" s="26"/>
      <c r="AD95" s="26"/>
      <c r="AE95" s="26"/>
    </row>
    <row r="96" spans="4:31" x14ac:dyDescent="0.35">
      <c r="D96" s="27">
        <v>4.9742423999999991E-9</v>
      </c>
      <c r="X96" s="26"/>
      <c r="Y96" s="26"/>
      <c r="Z96" s="26"/>
      <c r="AA96" s="26"/>
      <c r="AB96" s="26"/>
      <c r="AC96" s="26"/>
      <c r="AD96" s="26"/>
      <c r="AE96" s="26"/>
    </row>
    <row r="97" spans="4:31" x14ac:dyDescent="0.35">
      <c r="X97" s="26"/>
      <c r="Y97" s="26"/>
      <c r="Z97" s="26"/>
      <c r="AA97" s="26"/>
      <c r="AB97" s="26"/>
      <c r="AC97" s="26"/>
      <c r="AD97" s="26"/>
      <c r="AE97" s="26"/>
    </row>
    <row r="98" spans="4:31" x14ac:dyDescent="0.35">
      <c r="E98">
        <v>1</v>
      </c>
      <c r="F98">
        <v>2</v>
      </c>
      <c r="G98">
        <v>3</v>
      </c>
      <c r="K98">
        <v>1</v>
      </c>
      <c r="L98">
        <v>2</v>
      </c>
      <c r="M98">
        <v>3</v>
      </c>
      <c r="X98" s="26"/>
      <c r="Y98" s="26"/>
      <c r="Z98" s="26"/>
      <c r="AA98" s="26"/>
      <c r="AB98" s="26"/>
      <c r="AC98" s="26"/>
      <c r="AD98" s="26"/>
      <c r="AE98" s="26"/>
    </row>
    <row r="99" spans="4:31" x14ac:dyDescent="0.35">
      <c r="D99" s="26">
        <v>1</v>
      </c>
      <c r="E99" s="16">
        <f>$F$2</f>
        <v>0.94640000000000002</v>
      </c>
      <c r="F99" s="16">
        <f>$G$2</f>
        <v>2.6100000000000002E-2</v>
      </c>
      <c r="G99" s="16">
        <f>$H$2</f>
        <v>2.75E-2</v>
      </c>
      <c r="K99" s="16">
        <f>D100*E99</f>
        <v>9.1324226273280025E-6</v>
      </c>
      <c r="L99" s="16">
        <f>D100*F99</f>
        <v>2.5185569587200007E-7</v>
      </c>
      <c r="M99" s="16">
        <f>D100*G99</f>
        <v>2.6536519680000006E-7</v>
      </c>
      <c r="P99" s="16"/>
      <c r="Q99" s="16"/>
      <c r="R99" s="16"/>
      <c r="X99" s="26"/>
      <c r="Y99" s="26"/>
      <c r="Z99" s="26"/>
      <c r="AA99" s="26"/>
      <c r="AB99" s="26"/>
      <c r="AC99" s="26"/>
      <c r="AD99" s="26"/>
      <c r="AE99" s="26"/>
    </row>
    <row r="100" spans="4:31" x14ac:dyDescent="0.35">
      <c r="D100" s="27">
        <v>9.6496435200000019E-6</v>
      </c>
      <c r="X100" s="26"/>
      <c r="Y100" s="26"/>
      <c r="Z100" s="26"/>
      <c r="AA100" s="26"/>
      <c r="AB100" s="26"/>
      <c r="AC100" s="26"/>
      <c r="AD100" s="26"/>
      <c r="AE100" s="26"/>
    </row>
    <row r="101" spans="4:31" x14ac:dyDescent="0.35">
      <c r="X101" s="26"/>
      <c r="Y101" s="26"/>
      <c r="Z101" s="26"/>
      <c r="AA101" s="26"/>
      <c r="AB101" s="26"/>
      <c r="AC101" s="26"/>
      <c r="AD101" s="26"/>
      <c r="AE101" s="26"/>
    </row>
    <row r="102" spans="4:31" x14ac:dyDescent="0.35">
      <c r="E102">
        <v>1</v>
      </c>
      <c r="F102">
        <v>2</v>
      </c>
      <c r="G102">
        <v>3</v>
      </c>
      <c r="K102">
        <v>1</v>
      </c>
      <c r="L102">
        <v>2</v>
      </c>
      <c r="M102">
        <v>3</v>
      </c>
      <c r="X102" s="26"/>
      <c r="Y102" s="26"/>
      <c r="Z102" s="26"/>
      <c r="AA102" s="26"/>
      <c r="AB102" s="26"/>
      <c r="AC102" s="26"/>
      <c r="AD102" s="26"/>
      <c r="AE102" s="26"/>
    </row>
    <row r="103" spans="4:31" x14ac:dyDescent="0.35">
      <c r="D103" s="26">
        <v>2</v>
      </c>
      <c r="E103" s="16">
        <f>$I$2</f>
        <v>0.14080000000000001</v>
      </c>
      <c r="F103" s="16">
        <f>$J$2</f>
        <v>0.32979999999999998</v>
      </c>
      <c r="G103" s="16">
        <f>$K$2</f>
        <v>0.52939999999999998</v>
      </c>
      <c r="K103" s="16">
        <f>D104*E103</f>
        <v>3.1824524328960002E-6</v>
      </c>
      <c r="L103" s="16">
        <f>D104*F103</f>
        <v>7.4543523605759995E-6</v>
      </c>
      <c r="M103" s="16">
        <f>D104*G103</f>
        <v>1.1965840326528E-5</v>
      </c>
      <c r="P103" s="16"/>
      <c r="Q103" s="16"/>
      <c r="R103" s="16"/>
      <c r="X103" s="26"/>
      <c r="Y103" s="26"/>
      <c r="Z103" s="26"/>
      <c r="AA103" s="26"/>
      <c r="AB103" s="26"/>
      <c r="AC103" s="26"/>
      <c r="AD103" s="26"/>
      <c r="AE103" s="26"/>
    </row>
    <row r="104" spans="4:31" x14ac:dyDescent="0.35">
      <c r="D104" s="27">
        <v>2.260264512E-5</v>
      </c>
      <c r="X104" s="26"/>
      <c r="Y104" s="26"/>
      <c r="Z104" s="26"/>
      <c r="AA104" s="26"/>
      <c r="AB104" s="26"/>
      <c r="AC104" s="26"/>
      <c r="AD104" s="26"/>
      <c r="AE104" s="26"/>
    </row>
    <row r="105" spans="4:31" x14ac:dyDescent="0.35">
      <c r="X105" s="26"/>
      <c r="Y105" s="26"/>
      <c r="Z105" s="26"/>
      <c r="AA105" s="26"/>
      <c r="AB105" s="26"/>
      <c r="AC105" s="26"/>
      <c r="AD105" s="26"/>
      <c r="AE105" s="26"/>
    </row>
    <row r="106" spans="4:31" x14ac:dyDescent="0.35">
      <c r="E106">
        <v>1</v>
      </c>
      <c r="F106">
        <v>2</v>
      </c>
      <c r="G106">
        <v>3</v>
      </c>
      <c r="K106">
        <v>1</v>
      </c>
      <c r="L106">
        <v>2</v>
      </c>
      <c r="M106">
        <v>3</v>
      </c>
      <c r="X106" s="26"/>
      <c r="Y106" s="26"/>
      <c r="Z106" s="26"/>
      <c r="AA106" s="26"/>
      <c r="AB106" s="26"/>
      <c r="AC106" s="26"/>
      <c r="AD106" s="26"/>
      <c r="AE106" s="26"/>
    </row>
    <row r="107" spans="4:31" x14ac:dyDescent="0.35">
      <c r="D107" s="26">
        <v>3</v>
      </c>
      <c r="E107" s="16">
        <f>$L$2</f>
        <v>5.9999999999999995E-4</v>
      </c>
      <c r="F107" s="16">
        <f>$M$2</f>
        <v>1.77E-2</v>
      </c>
      <c r="G107" s="16">
        <f>$N$2</f>
        <v>0.98170000000000002</v>
      </c>
      <c r="K107" s="16">
        <f>D108*E107</f>
        <v>2.1769266815999999E-8</v>
      </c>
      <c r="L107" s="16">
        <f>D108*F107</f>
        <v>6.4219337107199998E-7</v>
      </c>
      <c r="M107" s="16">
        <f>D108*G107</f>
        <v>3.5618148722112001E-5</v>
      </c>
      <c r="P107" s="16"/>
      <c r="Q107" s="16"/>
      <c r="R107" s="16"/>
      <c r="X107" s="26"/>
      <c r="Y107" s="26"/>
      <c r="Z107" s="26"/>
      <c r="AA107" s="26"/>
      <c r="AB107" s="26"/>
      <c r="AC107" s="26"/>
      <c r="AD107" s="26"/>
      <c r="AE107" s="26"/>
    </row>
    <row r="108" spans="4:31" x14ac:dyDescent="0.35">
      <c r="D108" s="27">
        <v>3.628211136E-5</v>
      </c>
      <c r="X108" s="26"/>
      <c r="Y108" s="26"/>
      <c r="Z108" s="26"/>
      <c r="AA108" s="26"/>
      <c r="AB108" s="26"/>
      <c r="AC108" s="26"/>
      <c r="AD108" s="26"/>
      <c r="AE108" s="26"/>
    </row>
    <row r="109" spans="4:31" x14ac:dyDescent="0.35">
      <c r="X109" s="26"/>
      <c r="Y109" s="26"/>
      <c r="Z109" s="26"/>
      <c r="AA109" s="26"/>
      <c r="AB109" s="26"/>
      <c r="AC109" s="26"/>
      <c r="AD109" s="26"/>
      <c r="AE109" s="26"/>
    </row>
    <row r="110" spans="4:31" x14ac:dyDescent="0.35">
      <c r="E110">
        <v>1</v>
      </c>
      <c r="F110">
        <v>2</v>
      </c>
      <c r="G110">
        <v>3</v>
      </c>
      <c r="K110">
        <v>1</v>
      </c>
      <c r="L110">
        <v>2</v>
      </c>
      <c r="M110">
        <v>3</v>
      </c>
      <c r="X110" s="26"/>
      <c r="Y110" s="26"/>
      <c r="Z110" s="26"/>
      <c r="AA110" s="26"/>
      <c r="AB110" s="26"/>
      <c r="AC110" s="26"/>
      <c r="AD110" s="26"/>
      <c r="AE110" s="26"/>
    </row>
    <row r="111" spans="4:31" x14ac:dyDescent="0.35">
      <c r="D111" s="26">
        <v>1</v>
      </c>
      <c r="E111" s="16">
        <f>$F$2</f>
        <v>0.94640000000000002</v>
      </c>
      <c r="F111" s="16">
        <f>$G$2</f>
        <v>2.6100000000000002E-2</v>
      </c>
      <c r="G111" s="16">
        <f>$H$2</f>
        <v>2.75E-2</v>
      </c>
      <c r="K111" s="16">
        <f>D112*E111</f>
        <v>2.1584407004160001E-6</v>
      </c>
      <c r="L111" s="16">
        <f>D112*F111</f>
        <v>5.9525889984000009E-8</v>
      </c>
      <c r="M111" s="16">
        <f>D112*G111</f>
        <v>6.2718849599999999E-8</v>
      </c>
      <c r="P111" s="16"/>
      <c r="Q111" s="16"/>
      <c r="R111" s="16"/>
      <c r="X111" s="26"/>
      <c r="Y111" s="26"/>
      <c r="Z111" s="26"/>
      <c r="AA111" s="26"/>
      <c r="AB111" s="26"/>
      <c r="AC111" s="26"/>
      <c r="AD111" s="26"/>
      <c r="AE111" s="26"/>
    </row>
    <row r="112" spans="4:31" x14ac:dyDescent="0.35">
      <c r="D112" s="27">
        <v>2.2806854400000002E-6</v>
      </c>
      <c r="X112" s="26"/>
      <c r="Y112" s="26"/>
      <c r="Z112" s="26"/>
      <c r="AA112" s="26"/>
      <c r="AB112" s="26"/>
      <c r="AC112" s="26"/>
      <c r="AD112" s="26"/>
      <c r="AE112" s="26"/>
    </row>
    <row r="113" spans="4:31" x14ac:dyDescent="0.35">
      <c r="X113" s="26"/>
      <c r="Y113" s="26"/>
      <c r="Z113" s="26"/>
      <c r="AA113" s="26"/>
      <c r="AB113" s="26"/>
      <c r="AC113" s="26"/>
      <c r="AD113" s="26"/>
      <c r="AE113" s="26"/>
    </row>
    <row r="114" spans="4:31" x14ac:dyDescent="0.35">
      <c r="E114">
        <v>1</v>
      </c>
      <c r="F114">
        <v>2</v>
      </c>
      <c r="G114">
        <v>3</v>
      </c>
      <c r="K114">
        <v>1</v>
      </c>
      <c r="L114">
        <v>2</v>
      </c>
      <c r="M114">
        <v>3</v>
      </c>
      <c r="X114" s="26"/>
      <c r="Y114" s="26"/>
      <c r="Z114" s="26"/>
      <c r="AA114" s="26"/>
      <c r="AB114" s="26"/>
      <c r="AC114" s="26"/>
      <c r="AD114" s="26"/>
      <c r="AE114" s="26"/>
    </row>
    <row r="115" spans="4:31" x14ac:dyDescent="0.35">
      <c r="D115" s="26">
        <v>2</v>
      </c>
      <c r="E115" s="16">
        <f>$I$2</f>
        <v>0.14080000000000001</v>
      </c>
      <c r="F115" s="16">
        <f>$J$2</f>
        <v>0.32979999999999998</v>
      </c>
      <c r="G115" s="16">
        <f>$K$2</f>
        <v>0.52939999999999998</v>
      </c>
      <c r="K115" s="16">
        <f>D116*E115</f>
        <v>1.9626393599999997E-10</v>
      </c>
      <c r="L115" s="16">
        <f>D116*F115</f>
        <v>4.5971481599999984E-10</v>
      </c>
      <c r="M115" s="16">
        <f>D116*G115</f>
        <v>7.3794124799999983E-10</v>
      </c>
      <c r="P115" s="16"/>
      <c r="Q115" s="16"/>
      <c r="R115" s="16"/>
      <c r="X115" s="26"/>
      <c r="Y115" s="26"/>
      <c r="Z115" s="26"/>
      <c r="AA115" s="26"/>
      <c r="AB115" s="26"/>
      <c r="AC115" s="26"/>
      <c r="AD115" s="26"/>
      <c r="AE115" s="26"/>
    </row>
    <row r="116" spans="4:31" x14ac:dyDescent="0.35">
      <c r="D116" s="27">
        <v>1.3939199999999997E-9</v>
      </c>
      <c r="X116" s="26"/>
      <c r="Y116" s="26"/>
      <c r="Z116" s="26"/>
      <c r="AA116" s="26"/>
      <c r="AB116" s="26"/>
      <c r="AC116" s="26"/>
      <c r="AD116" s="26"/>
      <c r="AE116" s="26"/>
    </row>
    <row r="117" spans="4:31" x14ac:dyDescent="0.35">
      <c r="X117" s="26"/>
      <c r="Y117" s="26"/>
      <c r="Z117" s="26"/>
      <c r="AA117" s="26"/>
      <c r="AB117" s="26"/>
      <c r="AC117" s="26"/>
      <c r="AD117" s="26"/>
      <c r="AE117" s="26"/>
    </row>
    <row r="118" spans="4:31" x14ac:dyDescent="0.35">
      <c r="E118">
        <v>1</v>
      </c>
      <c r="F118">
        <v>2</v>
      </c>
      <c r="G118">
        <v>3</v>
      </c>
      <c r="K118">
        <v>1</v>
      </c>
      <c r="L118">
        <v>2</v>
      </c>
      <c r="M118">
        <v>3</v>
      </c>
      <c r="X118" s="26"/>
      <c r="Y118" s="26"/>
      <c r="Z118" s="26"/>
      <c r="AA118" s="26"/>
      <c r="AB118" s="26"/>
      <c r="AC118" s="26"/>
      <c r="AD118" s="26"/>
      <c r="AE118" s="26"/>
    </row>
    <row r="119" spans="4:31" x14ac:dyDescent="0.35">
      <c r="D119" s="26">
        <v>3</v>
      </c>
      <c r="E119" s="16">
        <f>$L$2</f>
        <v>5.9999999999999995E-4</v>
      </c>
      <c r="F119" s="16">
        <f>$M$2</f>
        <v>1.77E-2</v>
      </c>
      <c r="G119" s="16">
        <f>$N$2</f>
        <v>0.98170000000000002</v>
      </c>
      <c r="K119" s="16">
        <f>D120*E119</f>
        <v>8.3635199999999971E-13</v>
      </c>
      <c r="L119" s="16">
        <f>D120*F119</f>
        <v>2.4672383999999994E-11</v>
      </c>
      <c r="M119" s="16">
        <f>D120*G119</f>
        <v>1.3684112639999996E-9</v>
      </c>
      <c r="P119" s="16"/>
      <c r="Q119" s="16"/>
      <c r="R119" s="16"/>
      <c r="X119" s="26"/>
      <c r="Y119" s="26"/>
      <c r="Z119" s="26"/>
      <c r="AA119" s="26"/>
      <c r="AB119" s="26"/>
      <c r="AC119" s="26"/>
      <c r="AD119" s="26"/>
      <c r="AE119" s="26"/>
    </row>
    <row r="120" spans="4:31" x14ac:dyDescent="0.35">
      <c r="D120" s="27">
        <v>1.3939199999999997E-9</v>
      </c>
      <c r="X120" s="26"/>
      <c r="Y120" s="26"/>
      <c r="Z120" s="26"/>
      <c r="AA120" s="26"/>
      <c r="AB120" s="26"/>
      <c r="AC120" s="26"/>
      <c r="AD120" s="26"/>
      <c r="AE120" s="26"/>
    </row>
    <row r="121" spans="4:31" x14ac:dyDescent="0.35">
      <c r="X121" s="26"/>
      <c r="Y121" s="26"/>
      <c r="Z121" s="26"/>
      <c r="AA121" s="26"/>
      <c r="AB121" s="26"/>
      <c r="AC121" s="26"/>
      <c r="AD121" s="26"/>
      <c r="AE121" s="26"/>
    </row>
    <row r="122" spans="4:31" x14ac:dyDescent="0.35">
      <c r="E122">
        <v>1</v>
      </c>
      <c r="F122">
        <v>2</v>
      </c>
      <c r="G122">
        <v>3</v>
      </c>
      <c r="K122">
        <v>1</v>
      </c>
      <c r="L122">
        <v>2</v>
      </c>
      <c r="M122">
        <v>3</v>
      </c>
      <c r="X122" s="26"/>
      <c r="Y122" s="26"/>
      <c r="Z122" s="26"/>
      <c r="AA122" s="26"/>
      <c r="AB122" s="26"/>
      <c r="AC122" s="26"/>
      <c r="AD122" s="26"/>
      <c r="AE122" s="26"/>
    </row>
    <row r="123" spans="4:31" x14ac:dyDescent="0.35">
      <c r="D123" s="26">
        <v>1</v>
      </c>
      <c r="E123" s="16">
        <f>$F$2</f>
        <v>0.94640000000000002</v>
      </c>
      <c r="F123" s="16">
        <f>$G$2</f>
        <v>2.6100000000000002E-2</v>
      </c>
      <c r="G123" s="16">
        <f>$H$2</f>
        <v>2.75E-2</v>
      </c>
      <c r="K123" s="16">
        <f>D124*E123</f>
        <v>2.1125165306275433E-3</v>
      </c>
      <c r="L123" s="16">
        <f>D124*F123</f>
        <v>5.8259384456232968E-5</v>
      </c>
      <c r="M123" s="16">
        <f>D124*G123</f>
        <v>6.1384408909824004E-5</v>
      </c>
      <c r="P123" s="16"/>
      <c r="Q123" s="16"/>
      <c r="R123" s="16"/>
      <c r="X123" s="26"/>
      <c r="Y123" s="26"/>
      <c r="Z123" s="26"/>
      <c r="AA123" s="26"/>
      <c r="AB123" s="27"/>
      <c r="AC123" s="27"/>
      <c r="AD123" s="27"/>
      <c r="AE123" s="26"/>
    </row>
    <row r="124" spans="4:31" x14ac:dyDescent="0.35">
      <c r="D124" s="27">
        <v>2.2321603239936001E-3</v>
      </c>
      <c r="X124" s="26"/>
      <c r="Y124" s="26"/>
      <c r="Z124" s="26"/>
      <c r="AA124" s="26"/>
      <c r="AB124" s="26"/>
      <c r="AC124" s="26"/>
      <c r="AD124" s="26"/>
      <c r="AE124" s="26"/>
    </row>
    <row r="125" spans="4:31" x14ac:dyDescent="0.35">
      <c r="X125" s="26"/>
      <c r="Y125" s="26"/>
      <c r="Z125" s="26"/>
      <c r="AA125" s="26"/>
      <c r="AB125" s="26"/>
      <c r="AC125" s="27"/>
      <c r="AD125" s="27"/>
      <c r="AE125" s="26"/>
    </row>
    <row r="126" spans="4:31" x14ac:dyDescent="0.35">
      <c r="E126">
        <v>1</v>
      </c>
      <c r="F126">
        <v>2</v>
      </c>
      <c r="G126">
        <v>3</v>
      </c>
      <c r="K126">
        <v>1</v>
      </c>
      <c r="L126">
        <v>2</v>
      </c>
      <c r="M126">
        <v>3</v>
      </c>
      <c r="X126" s="26"/>
      <c r="Y126" s="26"/>
      <c r="Z126" s="26"/>
      <c r="AA126" s="26"/>
      <c r="AB126" s="26"/>
      <c r="AC126" s="26"/>
      <c r="AD126" s="26"/>
      <c r="AE126" s="26"/>
    </row>
    <row r="127" spans="4:31" x14ac:dyDescent="0.35">
      <c r="D127" s="26">
        <v>2</v>
      </c>
      <c r="E127" s="16">
        <f>$I$2</f>
        <v>0.14080000000000001</v>
      </c>
      <c r="F127" s="16">
        <f>$J$2</f>
        <v>0.32979999999999998</v>
      </c>
      <c r="G127" s="16">
        <f>$K$2</f>
        <v>0.52939999999999998</v>
      </c>
      <c r="K127" s="16">
        <f>D128*E127</f>
        <v>8.6674992935731223E-6</v>
      </c>
      <c r="L127" s="16">
        <f>D128*F127</f>
        <v>2.0302139680542723E-5</v>
      </c>
      <c r="M127" s="16">
        <f>D128*G127</f>
        <v>3.2589304872284166E-5</v>
      </c>
      <c r="P127" s="16"/>
      <c r="Q127" s="16"/>
      <c r="R127" s="16"/>
      <c r="X127" s="26"/>
      <c r="Y127" s="26"/>
      <c r="Z127" s="26"/>
      <c r="AA127" s="26"/>
      <c r="AB127" s="27"/>
      <c r="AC127" s="27"/>
      <c r="AD127" s="27"/>
      <c r="AE127" s="26"/>
    </row>
    <row r="128" spans="4:31" x14ac:dyDescent="0.35">
      <c r="D128" s="27">
        <v>6.1558943846400012E-5</v>
      </c>
      <c r="X128" s="26"/>
      <c r="Y128" s="26"/>
      <c r="Z128" s="26"/>
      <c r="AA128" s="26"/>
      <c r="AB128" s="26"/>
      <c r="AC128" s="26"/>
      <c r="AD128" s="26"/>
      <c r="AE128" s="26"/>
    </row>
    <row r="129" spans="4:31" x14ac:dyDescent="0.35">
      <c r="Q129" s="16"/>
      <c r="R129" s="16"/>
      <c r="X129" s="26"/>
      <c r="Y129" s="26"/>
      <c r="Z129" s="26"/>
      <c r="AA129" s="26"/>
      <c r="AB129" s="26"/>
      <c r="AC129" s="26"/>
      <c r="AD129" s="26"/>
      <c r="AE129" s="26"/>
    </row>
    <row r="130" spans="4:31" x14ac:dyDescent="0.35">
      <c r="E130">
        <v>1</v>
      </c>
      <c r="F130">
        <v>2</v>
      </c>
      <c r="G130">
        <v>3</v>
      </c>
      <c r="K130">
        <v>1</v>
      </c>
      <c r="L130">
        <v>2</v>
      </c>
      <c r="M130">
        <v>3</v>
      </c>
      <c r="X130" s="26"/>
      <c r="Y130" s="26"/>
      <c r="Z130" s="26"/>
      <c r="AA130" s="26"/>
      <c r="AB130" s="26"/>
      <c r="AC130" s="26"/>
      <c r="AD130" s="26"/>
      <c r="AE130" s="26"/>
    </row>
    <row r="131" spans="4:31" x14ac:dyDescent="0.35">
      <c r="D131" s="26">
        <v>3</v>
      </c>
      <c r="E131" s="16">
        <f>$L$2</f>
        <v>5.9999999999999995E-4</v>
      </c>
      <c r="F131" s="16">
        <f>$M$2</f>
        <v>1.77E-2</v>
      </c>
      <c r="G131" s="16">
        <f>$N$2</f>
        <v>0.98170000000000002</v>
      </c>
      <c r="K131" s="16">
        <f>D132*E131</f>
        <v>3.8916573696000001E-8</v>
      </c>
      <c r="L131" s="16">
        <f>D132*F131</f>
        <v>1.1480389240320003E-6</v>
      </c>
      <c r="M131" s="16">
        <f>D132*G131</f>
        <v>6.3674000662272009E-5</v>
      </c>
      <c r="P131" s="16"/>
      <c r="Q131" s="16"/>
      <c r="R131" s="16"/>
      <c r="X131" s="26"/>
      <c r="Y131" s="26"/>
      <c r="Z131" s="26"/>
      <c r="AA131" s="26"/>
      <c r="AB131" s="27"/>
      <c r="AC131" s="27"/>
      <c r="AD131" s="27"/>
      <c r="AE131" s="26"/>
    </row>
    <row r="132" spans="4:31" x14ac:dyDescent="0.35">
      <c r="D132" s="27">
        <v>6.4860956160000012E-5</v>
      </c>
      <c r="X132" s="26"/>
      <c r="Y132" s="26"/>
      <c r="Z132" s="26"/>
      <c r="AA132" s="26"/>
      <c r="AB132" s="26"/>
      <c r="AC132" s="26"/>
      <c r="AD132" s="26"/>
      <c r="AE132" s="26"/>
    </row>
    <row r="133" spans="4:31" x14ac:dyDescent="0.35">
      <c r="X133" s="26"/>
      <c r="Y133" s="26"/>
      <c r="Z133" s="26"/>
      <c r="AA133" s="26"/>
      <c r="AB133" s="26"/>
      <c r="AC133" s="26"/>
      <c r="AD133" s="26"/>
      <c r="AE133" s="26"/>
    </row>
    <row r="134" spans="4:31" x14ac:dyDescent="0.35">
      <c r="E134">
        <v>1</v>
      </c>
      <c r="F134">
        <v>2</v>
      </c>
      <c r="G134">
        <v>3</v>
      </c>
      <c r="K134">
        <v>1</v>
      </c>
      <c r="L134">
        <v>2</v>
      </c>
      <c r="M134">
        <v>3</v>
      </c>
      <c r="X134" s="26"/>
      <c r="Y134" s="26"/>
      <c r="Z134" s="26"/>
      <c r="AA134" s="26"/>
      <c r="AB134" s="26"/>
      <c r="AC134" s="26"/>
      <c r="AD134" s="26"/>
      <c r="AE134" s="26"/>
    </row>
    <row r="135" spans="4:31" x14ac:dyDescent="0.35">
      <c r="D135" s="26">
        <v>1</v>
      </c>
      <c r="E135" s="16">
        <f>$F$2</f>
        <v>0.94640000000000002</v>
      </c>
      <c r="F135" s="16">
        <f>$G$2</f>
        <v>2.6100000000000002E-2</v>
      </c>
      <c r="G135" s="16">
        <f>$H$2</f>
        <v>2.75E-2</v>
      </c>
      <c r="K135" s="16">
        <f>D136*E135</f>
        <v>8.6674992935731223E-6</v>
      </c>
      <c r="L135" s="16">
        <f>D136*F135</f>
        <v>2.3903395135488005E-7</v>
      </c>
      <c r="M135" s="16">
        <f>D136*G135</f>
        <v>2.5185569587200007E-7</v>
      </c>
      <c r="P135" s="16"/>
      <c r="Q135" s="16"/>
      <c r="R135" s="16"/>
      <c r="X135" s="26"/>
      <c r="Y135" s="26"/>
      <c r="Z135" s="26"/>
      <c r="AA135" s="26"/>
      <c r="AB135" s="27"/>
      <c r="AC135" s="27"/>
      <c r="AD135" s="27"/>
      <c r="AE135" s="26"/>
    </row>
    <row r="136" spans="4:31" x14ac:dyDescent="0.35">
      <c r="D136" s="27">
        <v>9.1583889408000018E-6</v>
      </c>
      <c r="X136" s="26"/>
      <c r="Y136" s="26"/>
      <c r="Z136" s="26"/>
      <c r="AA136" s="26"/>
      <c r="AB136" s="26"/>
      <c r="AC136" s="26"/>
      <c r="AD136" s="26"/>
      <c r="AE136" s="26"/>
    </row>
    <row r="137" spans="4:31" x14ac:dyDescent="0.35">
      <c r="X137" s="26"/>
      <c r="Y137" s="26"/>
      <c r="Z137" s="26"/>
      <c r="AA137" s="26"/>
      <c r="AB137" s="26"/>
      <c r="AC137" s="26"/>
      <c r="AD137" s="26"/>
      <c r="AE137" s="26"/>
    </row>
    <row r="138" spans="4:31" x14ac:dyDescent="0.35">
      <c r="E138">
        <v>1</v>
      </c>
      <c r="F138">
        <v>2</v>
      </c>
      <c r="G138">
        <v>3</v>
      </c>
      <c r="K138">
        <v>1</v>
      </c>
      <c r="L138">
        <v>2</v>
      </c>
      <c r="M138">
        <v>3</v>
      </c>
      <c r="X138" s="26"/>
      <c r="Y138" s="26"/>
      <c r="Z138" s="26"/>
      <c r="AA138" s="26"/>
      <c r="AB138" s="26"/>
      <c r="AC138" s="26"/>
      <c r="AD138" s="26"/>
      <c r="AE138" s="26"/>
    </row>
    <row r="139" spans="4:31" x14ac:dyDescent="0.35">
      <c r="D139" s="26">
        <v>2</v>
      </c>
      <c r="E139" s="16">
        <f>$I$2</f>
        <v>0.14080000000000001</v>
      </c>
      <c r="F139" s="16">
        <f>$J$2</f>
        <v>0.32979999999999998</v>
      </c>
      <c r="G139" s="16">
        <f>$K$2</f>
        <v>0.52939999999999998</v>
      </c>
      <c r="K139" s="16">
        <f>D140*E139</f>
        <v>1.2895011628646403E-6</v>
      </c>
      <c r="L139" s="16">
        <f>D140*F139</f>
        <v>3.0204366726758403E-6</v>
      </c>
      <c r="M139" s="16">
        <f>D140*G139</f>
        <v>4.848451105259521E-6</v>
      </c>
      <c r="P139" s="16"/>
      <c r="Q139" s="16"/>
      <c r="R139" s="16"/>
      <c r="X139" s="26"/>
      <c r="Y139" s="26"/>
      <c r="Z139" s="26"/>
      <c r="AA139" s="26"/>
      <c r="AB139" s="27"/>
      <c r="AC139" s="27"/>
      <c r="AD139" s="27"/>
      <c r="AE139" s="26"/>
    </row>
    <row r="140" spans="4:31" x14ac:dyDescent="0.35">
      <c r="D140" s="27">
        <v>9.1583889408000018E-6</v>
      </c>
      <c r="X140" s="26"/>
      <c r="Y140" s="26"/>
      <c r="Z140" s="26"/>
      <c r="AA140" s="26"/>
      <c r="AB140" s="26"/>
      <c r="AC140" s="26"/>
      <c r="AD140" s="26"/>
      <c r="AE140" s="26"/>
    </row>
    <row r="141" spans="4:31" x14ac:dyDescent="0.35">
      <c r="X141" s="26"/>
      <c r="Y141" s="26"/>
      <c r="Z141" s="26"/>
      <c r="AA141" s="26"/>
      <c r="AB141" s="26"/>
      <c r="AC141" s="26"/>
      <c r="AD141" s="26"/>
      <c r="AE141" s="26"/>
    </row>
    <row r="142" spans="4:31" x14ac:dyDescent="0.35">
      <c r="E142">
        <v>1</v>
      </c>
      <c r="F142">
        <v>2</v>
      </c>
      <c r="G142">
        <v>3</v>
      </c>
      <c r="K142">
        <v>1</v>
      </c>
      <c r="L142">
        <v>2</v>
      </c>
      <c r="M142">
        <v>3</v>
      </c>
      <c r="X142" s="26"/>
      <c r="Y142" s="26"/>
      <c r="Z142" s="26"/>
      <c r="AA142" s="26"/>
      <c r="AB142" s="26"/>
      <c r="AC142" s="26"/>
      <c r="AD142" s="26"/>
      <c r="AE142" s="26"/>
    </row>
    <row r="143" spans="4:31" x14ac:dyDescent="0.35">
      <c r="D143" s="26">
        <v>3</v>
      </c>
      <c r="E143" s="16">
        <f>$L$2</f>
        <v>5.9999999999999995E-4</v>
      </c>
      <c r="F143" s="16">
        <f>$M$2</f>
        <v>1.77E-2</v>
      </c>
      <c r="G143" s="16">
        <f>$N$2</f>
        <v>0.98170000000000002</v>
      </c>
      <c r="K143" s="16">
        <f>D144*E143</f>
        <v>5.4950333644800006E-9</v>
      </c>
      <c r="L143" s="16">
        <f>D144*F143</f>
        <v>1.6210348425216003E-7</v>
      </c>
      <c r="M143" s="16">
        <f>D144*G143</f>
        <v>8.9907904231833624E-6</v>
      </c>
      <c r="P143" s="16"/>
      <c r="Q143" s="16"/>
      <c r="R143" s="16"/>
      <c r="X143" s="26"/>
      <c r="Y143" s="26"/>
      <c r="Z143" s="26"/>
      <c r="AA143" s="26"/>
      <c r="AB143" s="27"/>
      <c r="AC143" s="27"/>
      <c r="AD143" s="27"/>
      <c r="AE143" s="26"/>
    </row>
    <row r="144" spans="4:31" x14ac:dyDescent="0.35">
      <c r="D144" s="27">
        <v>9.1583889408000018E-6</v>
      </c>
      <c r="X144" s="26"/>
      <c r="Y144" s="26"/>
      <c r="Z144" s="26"/>
      <c r="AA144" s="26"/>
      <c r="AB144" s="26"/>
      <c r="AC144" s="26"/>
      <c r="AD144" s="26"/>
      <c r="AE144" s="26"/>
    </row>
    <row r="145" spans="4:31" x14ac:dyDescent="0.35">
      <c r="X145" s="26"/>
      <c r="Y145" s="26"/>
      <c r="Z145" s="26"/>
      <c r="AA145" s="26"/>
      <c r="AB145" s="26"/>
      <c r="AC145" s="26"/>
      <c r="AD145" s="26"/>
      <c r="AE145" s="26"/>
    </row>
    <row r="146" spans="4:31" x14ac:dyDescent="0.35">
      <c r="E146">
        <v>1</v>
      </c>
      <c r="F146">
        <v>2</v>
      </c>
      <c r="G146">
        <v>3</v>
      </c>
      <c r="K146">
        <v>1</v>
      </c>
      <c r="L146">
        <v>2</v>
      </c>
      <c r="M146">
        <v>3</v>
      </c>
      <c r="X146" s="26"/>
      <c r="Y146" s="26"/>
      <c r="Z146" s="26"/>
      <c r="AA146" s="26"/>
      <c r="AB146" s="26"/>
      <c r="AC146" s="26"/>
      <c r="AD146" s="26"/>
      <c r="AE146" s="26"/>
    </row>
    <row r="147" spans="4:31" x14ac:dyDescent="0.35">
      <c r="D147" s="26">
        <v>1</v>
      </c>
      <c r="E147" s="16">
        <f>$F$2</f>
        <v>0.94640000000000002</v>
      </c>
      <c r="F147" s="16">
        <f>$G$2</f>
        <v>2.6100000000000002E-2</v>
      </c>
      <c r="G147" s="16">
        <f>$H$2</f>
        <v>2.75E-2</v>
      </c>
      <c r="K147" s="16">
        <f>D148*E147</f>
        <v>8.6674992935731223E-6</v>
      </c>
      <c r="L147" s="16">
        <f>D148*F147</f>
        <v>2.3903395135488005E-7</v>
      </c>
      <c r="M147" s="16">
        <f>D148*G147</f>
        <v>2.5185569587200007E-7</v>
      </c>
      <c r="P147" s="16"/>
      <c r="Q147" s="16"/>
      <c r="R147" s="16"/>
      <c r="X147" s="26"/>
      <c r="Y147" s="26"/>
      <c r="Z147" s="26"/>
      <c r="AA147" s="26"/>
      <c r="AB147" s="27"/>
      <c r="AC147" s="27"/>
      <c r="AD147" s="27"/>
      <c r="AE147" s="26"/>
    </row>
    <row r="148" spans="4:31" x14ac:dyDescent="0.35">
      <c r="D148" s="27">
        <v>9.1583889408000018E-6</v>
      </c>
      <c r="X148" s="26"/>
      <c r="Y148" s="26"/>
      <c r="Z148" s="26"/>
      <c r="AA148" s="26"/>
      <c r="AB148" s="26"/>
      <c r="AC148" s="26"/>
      <c r="AD148" s="26"/>
      <c r="AE148" s="26"/>
    </row>
    <row r="149" spans="4:31" x14ac:dyDescent="0.35">
      <c r="X149" s="26"/>
      <c r="Y149" s="26"/>
      <c r="Z149" s="26"/>
      <c r="AA149" s="26"/>
      <c r="AB149" s="26"/>
      <c r="AC149" s="26"/>
      <c r="AD149" s="26"/>
      <c r="AE149" s="26"/>
    </row>
    <row r="150" spans="4:31" x14ac:dyDescent="0.35">
      <c r="E150">
        <v>1</v>
      </c>
      <c r="F150">
        <v>2</v>
      </c>
      <c r="G150">
        <v>3</v>
      </c>
      <c r="K150">
        <v>1</v>
      </c>
      <c r="L150">
        <v>2</v>
      </c>
      <c r="M150">
        <v>3</v>
      </c>
      <c r="X150" s="26"/>
      <c r="Y150" s="26"/>
      <c r="Z150" s="26"/>
      <c r="AA150" s="26"/>
      <c r="AB150" s="26"/>
      <c r="AC150" s="26"/>
      <c r="AD150" s="26"/>
      <c r="AE150" s="26"/>
    </row>
    <row r="151" spans="4:31" x14ac:dyDescent="0.35">
      <c r="D151" s="26">
        <v>2</v>
      </c>
      <c r="E151" s="16">
        <f>$I$2</f>
        <v>0.14080000000000001</v>
      </c>
      <c r="F151" s="16">
        <f>$J$2</f>
        <v>0.32979999999999998</v>
      </c>
      <c r="G151" s="16">
        <f>$K$2</f>
        <v>0.52939999999999998</v>
      </c>
      <c r="K151" s="16">
        <f>D152*E151</f>
        <v>1.2895011628646403E-6</v>
      </c>
      <c r="L151" s="16">
        <f>D152*F151</f>
        <v>3.0204366726758403E-6</v>
      </c>
      <c r="M151" s="16">
        <f>D152*G151</f>
        <v>4.848451105259521E-6</v>
      </c>
      <c r="P151" s="16"/>
      <c r="Q151" s="16"/>
      <c r="R151" s="16"/>
      <c r="X151" s="26"/>
      <c r="Y151" s="26"/>
      <c r="Z151" s="26"/>
      <c r="AA151" s="26"/>
      <c r="AB151" s="27"/>
      <c r="AC151" s="27"/>
      <c r="AD151" s="27"/>
      <c r="AE151" s="26"/>
    </row>
    <row r="152" spans="4:31" x14ac:dyDescent="0.35">
      <c r="D152" s="27">
        <v>9.1583889408000018E-6</v>
      </c>
      <c r="X152" s="26"/>
      <c r="Y152" s="26"/>
      <c r="Z152" s="26"/>
      <c r="AA152" s="26"/>
      <c r="AB152" s="26"/>
      <c r="AC152" s="26"/>
      <c r="AD152" s="26"/>
      <c r="AE152" s="26"/>
    </row>
    <row r="153" spans="4:31" x14ac:dyDescent="0.35">
      <c r="X153" s="26"/>
      <c r="Y153" s="26"/>
      <c r="Z153" s="26"/>
      <c r="AA153" s="26"/>
      <c r="AB153" s="26"/>
      <c r="AC153" s="26"/>
      <c r="AD153" s="26"/>
      <c r="AE153" s="26"/>
    </row>
    <row r="154" spans="4:31" x14ac:dyDescent="0.35">
      <c r="E154">
        <v>1</v>
      </c>
      <c r="F154">
        <v>2</v>
      </c>
      <c r="G154">
        <v>3</v>
      </c>
      <c r="K154">
        <v>1</v>
      </c>
      <c r="L154">
        <v>2</v>
      </c>
      <c r="M154">
        <v>3</v>
      </c>
      <c r="X154" s="26"/>
      <c r="Y154" s="26"/>
      <c r="Z154" s="26"/>
      <c r="AA154" s="26"/>
      <c r="AB154" s="26"/>
      <c r="AC154" s="26"/>
      <c r="AD154" s="26"/>
      <c r="AE154" s="26"/>
    </row>
    <row r="155" spans="4:31" x14ac:dyDescent="0.35">
      <c r="D155" s="26">
        <v>3</v>
      </c>
      <c r="E155" s="16">
        <f>$L$2</f>
        <v>5.9999999999999995E-4</v>
      </c>
      <c r="F155" s="16">
        <f>$M$2</f>
        <v>1.77E-2</v>
      </c>
      <c r="G155" s="16">
        <f>$N$2</f>
        <v>0.98170000000000002</v>
      </c>
      <c r="K155" s="16">
        <f>D156*E155</f>
        <v>4.0368132288000007E-8</v>
      </c>
      <c r="L155" s="16">
        <f>D156*F155</f>
        <v>1.1908599024960002E-6</v>
      </c>
      <c r="M155" s="16">
        <f>D156*G155</f>
        <v>6.6048992445216017E-5</v>
      </c>
      <c r="P155" s="16"/>
      <c r="Q155" s="16"/>
      <c r="R155" s="16"/>
      <c r="X155" s="26"/>
      <c r="Y155" s="26"/>
      <c r="Z155" s="26"/>
      <c r="AA155" s="26"/>
      <c r="AB155" s="27"/>
      <c r="AC155" s="27"/>
      <c r="AD155" s="27"/>
      <c r="AE155" s="26"/>
    </row>
    <row r="156" spans="4:31" x14ac:dyDescent="0.35">
      <c r="D156" s="27">
        <v>6.7280220480000013E-5</v>
      </c>
      <c r="X156" s="26"/>
      <c r="Y156" s="26"/>
      <c r="Z156" s="26"/>
      <c r="AA156" s="26"/>
      <c r="AB156" s="26"/>
      <c r="AC156" s="26"/>
      <c r="AD156" s="26"/>
      <c r="AE156" s="26"/>
    </row>
    <row r="157" spans="4:31" x14ac:dyDescent="0.35">
      <c r="X157" s="26"/>
      <c r="Y157" s="26"/>
      <c r="Z157" s="26"/>
      <c r="AA157" s="26"/>
      <c r="AB157" s="26"/>
      <c r="AC157" s="26"/>
      <c r="AD157" s="26"/>
      <c r="AE157" s="26"/>
    </row>
    <row r="158" spans="4:31" x14ac:dyDescent="0.35">
      <c r="E158">
        <v>1</v>
      </c>
      <c r="F158">
        <v>2</v>
      </c>
      <c r="G158">
        <v>3</v>
      </c>
      <c r="K158">
        <v>1</v>
      </c>
      <c r="L158">
        <v>2</v>
      </c>
      <c r="M158">
        <v>3</v>
      </c>
      <c r="X158" s="26"/>
      <c r="Y158" s="26"/>
      <c r="Z158" s="26"/>
      <c r="AA158" s="26"/>
      <c r="AB158" s="26"/>
      <c r="AC158" s="26"/>
      <c r="AD158" s="26"/>
      <c r="AE158" s="26"/>
    </row>
    <row r="159" spans="4:31" x14ac:dyDescent="0.35">
      <c r="D159" s="26">
        <v>1</v>
      </c>
      <c r="E159" s="16">
        <f>$F$2</f>
        <v>0.94640000000000002</v>
      </c>
      <c r="F159" s="16">
        <f>$G$2</f>
        <v>2.6100000000000002E-2</v>
      </c>
      <c r="G159" s="16">
        <f>$H$2</f>
        <v>2.75E-2</v>
      </c>
      <c r="K159" s="16">
        <f>D160*E159</f>
        <v>7.3616647485308937E-4</v>
      </c>
      <c r="L159" s="16">
        <f>D160*F159</f>
        <v>2.0302139680542723E-5</v>
      </c>
      <c r="M159" s="16">
        <f>D160*G159</f>
        <v>2.1391143341568001E-5</v>
      </c>
      <c r="P159" s="16"/>
      <c r="Q159" s="16"/>
      <c r="R159" s="16"/>
      <c r="X159" s="26"/>
      <c r="Y159" s="26"/>
      <c r="Z159" s="26"/>
      <c r="AA159" s="26"/>
      <c r="AB159" s="27"/>
      <c r="AC159" s="27"/>
      <c r="AD159" s="27"/>
      <c r="AE159" s="26"/>
    </row>
    <row r="160" spans="4:31" x14ac:dyDescent="0.35">
      <c r="D160" s="27">
        <v>7.7785975787520009E-4</v>
      </c>
      <c r="X160" s="26"/>
      <c r="Y160" s="26"/>
      <c r="Z160" s="26"/>
      <c r="AA160" s="26"/>
      <c r="AB160" s="26"/>
      <c r="AC160" s="26"/>
      <c r="AD160" s="26"/>
      <c r="AE160" s="26"/>
    </row>
    <row r="161" spans="4:31" x14ac:dyDescent="0.35">
      <c r="X161" s="26"/>
      <c r="Y161" s="26"/>
      <c r="Z161" s="26"/>
      <c r="AA161" s="26"/>
      <c r="AB161" s="26"/>
      <c r="AC161" s="26"/>
      <c r="AD161" s="26"/>
      <c r="AE161" s="26"/>
    </row>
    <row r="162" spans="4:31" x14ac:dyDescent="0.35">
      <c r="E162">
        <v>1</v>
      </c>
      <c r="F162">
        <v>2</v>
      </c>
      <c r="G162">
        <v>3</v>
      </c>
      <c r="K162">
        <v>1</v>
      </c>
      <c r="L162">
        <v>2</v>
      </c>
      <c r="M162">
        <v>3</v>
      </c>
      <c r="X162" s="26"/>
      <c r="Y162" s="26"/>
      <c r="Z162" s="26"/>
      <c r="AA162" s="26"/>
      <c r="AB162" s="26"/>
      <c r="AC162" s="26"/>
      <c r="AD162" s="26"/>
      <c r="AE162" s="26"/>
    </row>
    <row r="163" spans="4:31" x14ac:dyDescent="0.35">
      <c r="D163" s="26">
        <v>2</v>
      </c>
      <c r="E163" s="16">
        <f>$I$2</f>
        <v>0.14080000000000001</v>
      </c>
      <c r="F163" s="16">
        <f>$J$2</f>
        <v>0.32979999999999998</v>
      </c>
      <c r="G163" s="16">
        <f>$K$2</f>
        <v>0.52939999999999998</v>
      </c>
      <c r="K163" s="16">
        <f>D164*E163</f>
        <v>3.0204366726758403E-6</v>
      </c>
      <c r="L163" s="16">
        <f>D164*F163</f>
        <v>7.0748580585830398E-6</v>
      </c>
      <c r="M163" s="16">
        <f>D164*G163</f>
        <v>1.135667027354112E-5</v>
      </c>
      <c r="P163" s="16"/>
      <c r="Q163" s="16"/>
      <c r="R163" s="16"/>
      <c r="X163" s="26"/>
      <c r="Y163" s="26"/>
      <c r="Z163" s="26"/>
      <c r="AA163" s="26"/>
      <c r="AB163" s="27"/>
      <c r="AC163" s="27"/>
      <c r="AD163" s="27"/>
      <c r="AE163" s="26"/>
    </row>
    <row r="164" spans="4:31" x14ac:dyDescent="0.35">
      <c r="D164" s="27">
        <v>2.1451965004800002E-5</v>
      </c>
      <c r="X164" s="26"/>
      <c r="Y164" s="26"/>
      <c r="Z164" s="26"/>
      <c r="AA164" s="26"/>
      <c r="AB164" s="26"/>
      <c r="AC164" s="26"/>
      <c r="AD164" s="26"/>
      <c r="AE164" s="26"/>
    </row>
    <row r="165" spans="4:31" x14ac:dyDescent="0.35">
      <c r="X165" s="26"/>
      <c r="Y165" s="26"/>
      <c r="Z165" s="26"/>
      <c r="AA165" s="26"/>
      <c r="AB165" s="26"/>
      <c r="AC165" s="26"/>
      <c r="AD165" s="26"/>
      <c r="AE165" s="26"/>
    </row>
    <row r="166" spans="4:31" x14ac:dyDescent="0.35">
      <c r="E166">
        <v>1</v>
      </c>
      <c r="F166">
        <v>2</v>
      </c>
      <c r="G166">
        <v>3</v>
      </c>
      <c r="K166">
        <v>1</v>
      </c>
      <c r="L166">
        <v>2</v>
      </c>
      <c r="M166">
        <v>3</v>
      </c>
      <c r="X166" s="26"/>
      <c r="Y166" s="26"/>
      <c r="Z166" s="26"/>
      <c r="AA166" s="26"/>
      <c r="AB166" s="26"/>
      <c r="AC166" s="26"/>
      <c r="AD166" s="26"/>
      <c r="AE166" s="26"/>
    </row>
    <row r="167" spans="4:31" x14ac:dyDescent="0.35">
      <c r="D167" s="26">
        <v>3</v>
      </c>
      <c r="E167" s="16">
        <f>$L$2</f>
        <v>5.9999999999999995E-4</v>
      </c>
      <c r="F167" s="16">
        <f>$M$2</f>
        <v>1.77E-2</v>
      </c>
      <c r="G167" s="16">
        <f>$N$2</f>
        <v>0.98170000000000002</v>
      </c>
      <c r="K167" s="16">
        <f>D168*E167</f>
        <v>1.3561587071999999E-8</v>
      </c>
      <c r="L167" s="16">
        <f>D168*F167</f>
        <v>4.0006681862400002E-7</v>
      </c>
      <c r="M167" s="16">
        <f>D168*G167</f>
        <v>2.2189016714304E-5</v>
      </c>
      <c r="P167" s="16"/>
      <c r="Q167" s="16"/>
      <c r="R167" s="16"/>
      <c r="X167" s="26"/>
      <c r="Y167" s="26"/>
      <c r="Z167" s="26"/>
      <c r="AA167" s="26"/>
      <c r="AB167" s="27"/>
      <c r="AC167" s="27"/>
      <c r="AD167" s="27"/>
      <c r="AE167" s="26"/>
    </row>
    <row r="168" spans="4:31" x14ac:dyDescent="0.35">
      <c r="D168" s="27">
        <v>2.260264512E-5</v>
      </c>
      <c r="X168" s="26"/>
      <c r="Y168" s="26"/>
      <c r="Z168" s="26"/>
      <c r="AA168" s="26"/>
      <c r="AB168" s="26"/>
      <c r="AC168" s="26"/>
      <c r="AD168" s="26"/>
      <c r="AE168" s="26"/>
    </row>
    <row r="169" spans="4:31" x14ac:dyDescent="0.35">
      <c r="X169" s="26"/>
      <c r="Y169" s="26"/>
      <c r="Z169" s="26"/>
      <c r="AA169" s="26"/>
      <c r="AB169" s="26"/>
      <c r="AC169" s="26"/>
      <c r="AD169" s="26"/>
      <c r="AE169" s="26"/>
    </row>
    <row r="170" spans="4:31" x14ac:dyDescent="0.35">
      <c r="E170">
        <v>1</v>
      </c>
      <c r="F170">
        <v>2</v>
      </c>
      <c r="G170">
        <v>3</v>
      </c>
      <c r="K170">
        <v>1</v>
      </c>
      <c r="L170">
        <v>2</v>
      </c>
      <c r="M170">
        <v>3</v>
      </c>
      <c r="X170" s="26"/>
      <c r="Y170" s="26"/>
      <c r="Z170" s="26"/>
      <c r="AA170" s="26"/>
      <c r="AB170" s="26"/>
      <c r="AC170" s="26"/>
      <c r="AD170" s="26"/>
      <c r="AE170" s="26"/>
    </row>
    <row r="171" spans="4:31" x14ac:dyDescent="0.35">
      <c r="D171" s="26">
        <v>1</v>
      </c>
      <c r="E171" s="16">
        <f>$F$2</f>
        <v>0.94640000000000002</v>
      </c>
      <c r="F171" s="16">
        <f>$G$2</f>
        <v>2.6100000000000002E-2</v>
      </c>
      <c r="G171" s="16">
        <f>$H$2</f>
        <v>2.75E-2</v>
      </c>
      <c r="K171" s="16">
        <f>D172*E171</f>
        <v>2.5653814814724095E-4</v>
      </c>
      <c r="L171" s="16">
        <f>D172*F171</f>
        <v>7.0748580585830398E-6</v>
      </c>
      <c r="M171" s="16">
        <f>D172*G171</f>
        <v>7.4543523605759995E-6</v>
      </c>
      <c r="P171" s="16"/>
      <c r="Q171" s="16"/>
      <c r="R171" s="16"/>
      <c r="X171" s="26"/>
      <c r="Y171" s="26"/>
      <c r="Z171" s="26"/>
      <c r="AA171" s="26"/>
      <c r="AB171" s="27"/>
      <c r="AC171" s="27"/>
      <c r="AD171" s="27"/>
      <c r="AE171" s="26"/>
    </row>
    <row r="172" spans="4:31" x14ac:dyDescent="0.35">
      <c r="D172" s="27">
        <v>2.7106735856639999E-4</v>
      </c>
      <c r="X172" s="26"/>
      <c r="Y172" s="26"/>
      <c r="Z172" s="26"/>
      <c r="AA172" s="26"/>
      <c r="AB172" s="26"/>
      <c r="AC172" s="26"/>
      <c r="AD172" s="26"/>
      <c r="AE172" s="26"/>
    </row>
    <row r="173" spans="4:31" x14ac:dyDescent="0.35">
      <c r="X173" s="26"/>
      <c r="Y173" s="26"/>
      <c r="Z173" s="26"/>
      <c r="AA173" s="26"/>
      <c r="AB173" s="26"/>
      <c r="AC173" s="26"/>
      <c r="AD173" s="26"/>
      <c r="AE173" s="26"/>
    </row>
    <row r="174" spans="4:31" x14ac:dyDescent="0.35">
      <c r="E174">
        <v>1</v>
      </c>
      <c r="F174">
        <v>2</v>
      </c>
      <c r="G174">
        <v>3</v>
      </c>
      <c r="K174">
        <v>1</v>
      </c>
      <c r="L174">
        <v>2</v>
      </c>
      <c r="M174">
        <v>3</v>
      </c>
      <c r="X174" s="26"/>
      <c r="Y174" s="26"/>
      <c r="Z174" s="26"/>
      <c r="AA174" s="26"/>
      <c r="AB174" s="26"/>
      <c r="AC174" s="26"/>
      <c r="AD174" s="26"/>
      <c r="AE174" s="26"/>
    </row>
    <row r="175" spans="4:31" x14ac:dyDescent="0.35">
      <c r="D175" s="26">
        <v>2</v>
      </c>
      <c r="E175" s="16">
        <f>$I$2</f>
        <v>0.14080000000000001</v>
      </c>
      <c r="F175" s="16">
        <f>$J$2</f>
        <v>0.32979999999999998</v>
      </c>
      <c r="G175" s="16">
        <f>$K$2</f>
        <v>0.52939999999999998</v>
      </c>
      <c r="K175" s="16">
        <f>D176*E175</f>
        <v>8.9398014855198709E-5</v>
      </c>
      <c r="L175" s="16">
        <f>D176*F175</f>
        <v>2.0939961150031629E-4</v>
      </c>
      <c r="M175" s="16">
        <f>D176*G175</f>
        <v>3.3613145642288493E-4</v>
      </c>
      <c r="P175" s="16"/>
      <c r="Q175" s="16"/>
      <c r="R175" s="16"/>
      <c r="X175" s="26"/>
      <c r="Y175" s="26"/>
      <c r="Z175" s="26"/>
      <c r="AA175" s="26"/>
      <c r="AB175" s="26"/>
      <c r="AC175" s="26"/>
      <c r="AD175" s="26"/>
      <c r="AE175" s="26"/>
    </row>
    <row r="176" spans="4:31" x14ac:dyDescent="0.35">
      <c r="D176" s="27">
        <v>6.3492908277839992E-4</v>
      </c>
      <c r="X176" s="26"/>
      <c r="Y176" s="26"/>
      <c r="Z176" s="26"/>
      <c r="AA176" s="26"/>
      <c r="AB176" s="26"/>
      <c r="AC176" s="26"/>
      <c r="AD176" s="26"/>
      <c r="AE176" s="26"/>
    </row>
    <row r="177" spans="4:31" x14ac:dyDescent="0.35">
      <c r="X177" s="26"/>
      <c r="Y177" s="26"/>
      <c r="Z177" s="26"/>
      <c r="AA177" s="26"/>
      <c r="AB177" s="26"/>
      <c r="AC177" s="26"/>
      <c r="AD177" s="26"/>
      <c r="AE177" s="26"/>
    </row>
    <row r="178" spans="4:31" x14ac:dyDescent="0.35">
      <c r="E178">
        <v>1</v>
      </c>
      <c r="F178">
        <v>2</v>
      </c>
      <c r="G178">
        <v>3</v>
      </c>
      <c r="K178">
        <v>1</v>
      </c>
      <c r="L178">
        <v>2</v>
      </c>
      <c r="M178">
        <v>3</v>
      </c>
      <c r="X178" s="26"/>
      <c r="Y178" s="26"/>
      <c r="Z178" s="26"/>
      <c r="AA178" s="26"/>
      <c r="AB178" s="26"/>
      <c r="AC178" s="26"/>
      <c r="AD178" s="26"/>
      <c r="AE178" s="26"/>
    </row>
    <row r="179" spans="4:31" x14ac:dyDescent="0.35">
      <c r="D179" s="26">
        <v>3</v>
      </c>
      <c r="E179" s="16">
        <f>$L$2</f>
        <v>5.9999999999999995E-4</v>
      </c>
      <c r="F179" s="16">
        <f>$M$2</f>
        <v>1.77E-2</v>
      </c>
      <c r="G179" s="16">
        <f>$N$2</f>
        <v>0.98170000000000002</v>
      </c>
      <c r="K179" s="16">
        <f>D180*E179</f>
        <v>6.115187199931199E-7</v>
      </c>
      <c r="L179" s="16">
        <f>D180*F179</f>
        <v>1.8039802239797042E-5</v>
      </c>
      <c r="M179" s="16">
        <f>D180*G179</f>
        <v>1.0005465456954098E-3</v>
      </c>
      <c r="P179" s="16"/>
      <c r="Q179" s="16"/>
      <c r="R179" s="16"/>
      <c r="X179" s="26"/>
      <c r="Y179" s="26"/>
      <c r="Z179" s="26"/>
      <c r="AA179" s="26"/>
      <c r="AB179" s="26"/>
      <c r="AC179" s="26"/>
      <c r="AD179" s="26"/>
      <c r="AE179" s="26"/>
    </row>
    <row r="180" spans="4:31" x14ac:dyDescent="0.35">
      <c r="D180" s="27">
        <v>1.0191978666552E-3</v>
      </c>
      <c r="X180" s="26"/>
      <c r="Y180" s="26"/>
      <c r="Z180" s="26"/>
      <c r="AA180" s="26"/>
      <c r="AB180" s="26"/>
      <c r="AC180" s="26"/>
      <c r="AD180" s="26"/>
      <c r="AE180" s="26"/>
    </row>
    <row r="181" spans="4:31" x14ac:dyDescent="0.35">
      <c r="X181" s="26"/>
      <c r="Y181" s="26"/>
      <c r="Z181" s="26"/>
      <c r="AA181" s="26"/>
      <c r="AB181" s="26"/>
      <c r="AC181" s="26"/>
      <c r="AD181" s="26"/>
      <c r="AE181" s="26"/>
    </row>
    <row r="182" spans="4:31" x14ac:dyDescent="0.35">
      <c r="E182">
        <v>1</v>
      </c>
      <c r="F182">
        <v>2</v>
      </c>
      <c r="G182">
        <v>3</v>
      </c>
      <c r="K182">
        <v>1</v>
      </c>
      <c r="L182">
        <v>2</v>
      </c>
      <c r="M182">
        <v>3</v>
      </c>
      <c r="X182" s="26"/>
      <c r="Y182" s="26"/>
      <c r="Z182" s="26"/>
      <c r="AA182" s="26"/>
      <c r="AB182" s="26"/>
      <c r="AC182" s="26"/>
      <c r="AD182" s="26"/>
      <c r="AE182" s="26"/>
    </row>
    <row r="183" spans="4:31" x14ac:dyDescent="0.35">
      <c r="D183" s="26">
        <v>1</v>
      </c>
      <c r="E183" s="16">
        <f>$F$2</f>
        <v>0.94640000000000002</v>
      </c>
      <c r="F183" s="16">
        <f>$G$2</f>
        <v>2.6100000000000002E-2</v>
      </c>
      <c r="G183" s="16">
        <f>$H$2</f>
        <v>2.75E-2</v>
      </c>
      <c r="K183" s="16">
        <f>D184*E183</f>
        <v>1.7548250958201598E-6</v>
      </c>
      <c r="L183" s="16">
        <f>D184*F183</f>
        <v>4.839490173384E-8</v>
      </c>
      <c r="M183" s="16">
        <f>D184*G183</f>
        <v>5.0990796845999995E-8</v>
      </c>
      <c r="P183" s="16"/>
      <c r="Q183" s="16"/>
      <c r="R183" s="16"/>
      <c r="X183" s="26"/>
      <c r="Y183" s="26"/>
      <c r="Z183" s="26"/>
      <c r="AA183" s="26"/>
      <c r="AB183" s="26"/>
      <c r="AC183" s="26"/>
      <c r="AD183" s="26"/>
      <c r="AE183" s="26"/>
    </row>
    <row r="184" spans="4:31" x14ac:dyDescent="0.35">
      <c r="D184" s="27">
        <v>1.8542107943999998E-6</v>
      </c>
      <c r="X184" s="26"/>
      <c r="Y184" s="26"/>
      <c r="Z184" s="26"/>
      <c r="AA184" s="26"/>
      <c r="AB184" s="26"/>
      <c r="AC184" s="26"/>
      <c r="AD184" s="26"/>
      <c r="AE184" s="26"/>
    </row>
    <row r="185" spans="4:31" x14ac:dyDescent="0.35">
      <c r="X185" s="26"/>
      <c r="Y185" s="26"/>
      <c r="Z185" s="26"/>
      <c r="AA185" s="26"/>
      <c r="AB185" s="26"/>
      <c r="AC185" s="26"/>
      <c r="AD185" s="26"/>
      <c r="AE185" s="26"/>
    </row>
    <row r="186" spans="4:31" x14ac:dyDescent="0.35">
      <c r="E186">
        <v>1</v>
      </c>
      <c r="F186">
        <v>2</v>
      </c>
      <c r="G186">
        <v>3</v>
      </c>
      <c r="K186">
        <v>1</v>
      </c>
      <c r="L186">
        <v>2</v>
      </c>
      <c r="M186">
        <v>3</v>
      </c>
      <c r="X186" s="26"/>
      <c r="Y186" s="26"/>
      <c r="Z186" s="26"/>
      <c r="AA186" s="26"/>
      <c r="AB186" s="26"/>
      <c r="AC186" s="26"/>
      <c r="AD186" s="26"/>
      <c r="AE186" s="26"/>
    </row>
    <row r="187" spans="4:31" x14ac:dyDescent="0.35">
      <c r="D187" s="26">
        <v>2</v>
      </c>
      <c r="E187" s="16">
        <f>$I$2</f>
        <v>0.14080000000000001</v>
      </c>
      <c r="F187" s="16">
        <f>$J$2</f>
        <v>0.32979999999999998</v>
      </c>
      <c r="G187" s="16">
        <f>$K$2</f>
        <v>0.52939999999999998</v>
      </c>
      <c r="K187" s="16">
        <f>D188*E187</f>
        <v>7.7016499556198402E-6</v>
      </c>
      <c r="L187" s="16">
        <f>D188*F187</f>
        <v>1.8039802239797038E-5</v>
      </c>
      <c r="M187" s="16">
        <f>D188*G187</f>
        <v>2.8957766239383118E-5</v>
      </c>
      <c r="P187" s="16"/>
      <c r="Q187" s="16"/>
      <c r="R187" s="16"/>
      <c r="X187" s="26"/>
      <c r="Y187" s="26"/>
      <c r="Z187" s="26"/>
      <c r="AA187" s="26"/>
      <c r="AB187" s="26"/>
      <c r="AC187" s="26"/>
      <c r="AD187" s="26"/>
      <c r="AE187" s="26"/>
    </row>
    <row r="188" spans="4:31" x14ac:dyDescent="0.35">
      <c r="D188" s="27">
        <v>5.4699218434799998E-5</v>
      </c>
      <c r="X188" s="26"/>
      <c r="Y188" s="26"/>
      <c r="Z188" s="26"/>
      <c r="AA188" s="26"/>
      <c r="AB188" s="26"/>
      <c r="AC188" s="26"/>
      <c r="AD188" s="26"/>
      <c r="AE188" s="26"/>
    </row>
    <row r="189" spans="4:31" x14ac:dyDescent="0.35">
      <c r="X189" s="26"/>
      <c r="Y189" s="26"/>
      <c r="Z189" s="26"/>
      <c r="AA189" s="26"/>
      <c r="AB189" s="26"/>
      <c r="AC189" s="26"/>
      <c r="AD189" s="26"/>
      <c r="AE189" s="26"/>
    </row>
    <row r="190" spans="4:31" x14ac:dyDescent="0.35">
      <c r="E190">
        <v>1</v>
      </c>
      <c r="F190">
        <v>2</v>
      </c>
      <c r="G190">
        <v>3</v>
      </c>
      <c r="K190">
        <v>1</v>
      </c>
      <c r="L190">
        <v>2</v>
      </c>
      <c r="M190">
        <v>3</v>
      </c>
      <c r="X190" s="26"/>
      <c r="Y190" s="26"/>
      <c r="Z190" s="26"/>
      <c r="AA190" s="26"/>
      <c r="AB190" s="26"/>
      <c r="AC190" s="26"/>
      <c r="AD190" s="26"/>
      <c r="AE190" s="26"/>
    </row>
    <row r="191" spans="4:31" x14ac:dyDescent="0.35">
      <c r="D191" s="26">
        <v>3</v>
      </c>
      <c r="E191" s="16">
        <f>$L$2</f>
        <v>5.9999999999999995E-4</v>
      </c>
      <c r="F191" s="16">
        <f>$M$2</f>
        <v>1.77E-2</v>
      </c>
      <c r="G191" s="16">
        <f>$N$2</f>
        <v>0.98170000000000002</v>
      </c>
      <c r="K191" s="16">
        <f>D192*E191</f>
        <v>1.8202787368624798E-6</v>
      </c>
      <c r="L191" s="16">
        <f>D192*F191</f>
        <v>5.3698222737443161E-5</v>
      </c>
      <c r="M191" s="16">
        <f>D192*G191</f>
        <v>2.9782793932964942E-3</v>
      </c>
      <c r="P191" s="16"/>
      <c r="Q191" s="16"/>
      <c r="R191" s="16"/>
      <c r="X191" s="26"/>
      <c r="Y191" s="26"/>
      <c r="Z191" s="26"/>
      <c r="AA191" s="26"/>
      <c r="AB191" s="26"/>
      <c r="AC191" s="26"/>
      <c r="AD191" s="26"/>
      <c r="AE191" s="26"/>
    </row>
    <row r="192" spans="4:31" x14ac:dyDescent="0.35">
      <c r="D192" s="27">
        <v>3.0337978947708E-3</v>
      </c>
      <c r="X192" s="26"/>
      <c r="Y192" s="26"/>
      <c r="Z192" s="26"/>
      <c r="AA192" s="26"/>
      <c r="AB192" s="26"/>
      <c r="AC192" s="26"/>
      <c r="AD192" s="26"/>
      <c r="AE192" s="26"/>
    </row>
    <row r="193" spans="4:31" x14ac:dyDescent="0.35">
      <c r="X193" s="26"/>
      <c r="Y193" s="26"/>
      <c r="Z193" s="26"/>
      <c r="AA193" s="26"/>
      <c r="AB193" s="26"/>
      <c r="AC193" s="26"/>
      <c r="AD193" s="26"/>
      <c r="AE193" s="26"/>
    </row>
    <row r="194" spans="4:31" x14ac:dyDescent="0.35">
      <c r="E194">
        <v>1</v>
      </c>
      <c r="F194">
        <v>2</v>
      </c>
      <c r="G194">
        <v>3</v>
      </c>
      <c r="K194">
        <v>1</v>
      </c>
      <c r="L194">
        <v>2</v>
      </c>
      <c r="M194">
        <v>3</v>
      </c>
      <c r="X194" s="26"/>
      <c r="Y194" s="26"/>
      <c r="Z194" s="26"/>
      <c r="AA194" s="26"/>
      <c r="AB194" s="26"/>
      <c r="AC194" s="26"/>
      <c r="AD194" s="26"/>
      <c r="AE194" s="26"/>
    </row>
    <row r="195" spans="4:31" x14ac:dyDescent="0.35">
      <c r="D195" s="26">
        <v>1</v>
      </c>
      <c r="E195" s="16">
        <f>$F$2</f>
        <v>0.94640000000000002</v>
      </c>
      <c r="F195" s="16">
        <f>$G$2</f>
        <v>2.6100000000000002E-2</v>
      </c>
      <c r="G195" s="16">
        <f>$H$2</f>
        <v>2.75E-2</v>
      </c>
      <c r="K195" s="16">
        <f>D196*E195</f>
        <v>5.03567759455488E-6</v>
      </c>
      <c r="L195" s="16">
        <f>D196*F195</f>
        <v>1.3887487871712E-7</v>
      </c>
      <c r="M195" s="16">
        <f>D196*G195</f>
        <v>1.46324105928E-7</v>
      </c>
      <c r="P195" s="16"/>
      <c r="Q195" s="16"/>
      <c r="R195" s="16"/>
      <c r="X195" s="26"/>
      <c r="Y195" s="26"/>
      <c r="Z195" s="26"/>
      <c r="AA195" s="26"/>
      <c r="AB195" s="26"/>
      <c r="AC195" s="26"/>
      <c r="AD195" s="26"/>
      <c r="AE195" s="26"/>
    </row>
    <row r="196" spans="4:31" x14ac:dyDescent="0.35">
      <c r="D196" s="27">
        <v>5.3208765791999997E-6</v>
      </c>
      <c r="X196" s="26"/>
      <c r="Y196" s="26"/>
      <c r="Z196" s="26"/>
      <c r="AA196" s="26"/>
      <c r="AB196" s="26"/>
      <c r="AC196" s="26"/>
      <c r="AD196" s="26"/>
      <c r="AE196" s="26"/>
    </row>
    <row r="197" spans="4:31" x14ac:dyDescent="0.35">
      <c r="X197" s="26"/>
      <c r="Y197" s="26"/>
      <c r="Z197" s="26"/>
      <c r="AA197" s="26"/>
      <c r="AB197" s="26"/>
      <c r="AC197" s="26"/>
      <c r="AD197" s="26"/>
      <c r="AE197" s="26"/>
    </row>
    <row r="198" spans="4:31" x14ac:dyDescent="0.35">
      <c r="E198">
        <v>1</v>
      </c>
      <c r="F198">
        <v>2</v>
      </c>
      <c r="G198">
        <v>3</v>
      </c>
      <c r="K198">
        <v>1</v>
      </c>
      <c r="L198">
        <v>2</v>
      </c>
      <c r="M198">
        <v>3</v>
      </c>
      <c r="X198" s="26"/>
      <c r="Y198" s="26"/>
      <c r="Z198" s="26"/>
      <c r="AA198" s="26"/>
      <c r="AB198" s="26"/>
      <c r="AC198" s="26"/>
      <c r="AD198" s="26"/>
      <c r="AE198" s="26"/>
    </row>
    <row r="199" spans="4:31" x14ac:dyDescent="0.35">
      <c r="D199" s="26">
        <v>2</v>
      </c>
      <c r="E199" s="16">
        <f>$I$2</f>
        <v>0.14080000000000001</v>
      </c>
      <c r="F199" s="16">
        <f>$J$2</f>
        <v>0.32979999999999998</v>
      </c>
      <c r="G199" s="16">
        <f>$K$2</f>
        <v>0.52939999999999998</v>
      </c>
      <c r="K199" s="16">
        <f>D200*E199</f>
        <v>2.0661013232639997E-8</v>
      </c>
      <c r="L199" s="16">
        <f>D200*F199</f>
        <v>4.8394901733839993E-8</v>
      </c>
      <c r="M199" s="16">
        <f>D200*G199</f>
        <v>7.7684235833519981E-8</v>
      </c>
      <c r="P199" s="16"/>
      <c r="Q199" s="16"/>
      <c r="R199" s="16"/>
      <c r="X199" s="26"/>
      <c r="Y199" s="26"/>
      <c r="Z199" s="26"/>
      <c r="AA199" s="26"/>
      <c r="AB199" s="26"/>
      <c r="AC199" s="26"/>
      <c r="AD199" s="26"/>
      <c r="AE199" s="26"/>
    </row>
    <row r="200" spans="4:31" x14ac:dyDescent="0.35">
      <c r="D200" s="27">
        <v>1.4674015079999998E-7</v>
      </c>
      <c r="X200" s="26"/>
      <c r="Y200" s="26"/>
      <c r="Z200" s="26"/>
      <c r="AA200" s="26"/>
      <c r="AB200" s="26"/>
      <c r="AC200" s="26"/>
      <c r="AD200" s="26"/>
      <c r="AE200" s="26"/>
    </row>
    <row r="201" spans="4:31" x14ac:dyDescent="0.35">
      <c r="X201" s="26"/>
      <c r="Y201" s="26"/>
      <c r="Z201" s="26"/>
      <c r="AA201" s="26"/>
      <c r="AB201" s="26"/>
      <c r="AC201" s="26"/>
      <c r="AD201" s="26"/>
      <c r="AE201" s="26"/>
    </row>
    <row r="202" spans="4:31" x14ac:dyDescent="0.35">
      <c r="E202">
        <v>1</v>
      </c>
      <c r="F202">
        <v>2</v>
      </c>
      <c r="G202">
        <v>3</v>
      </c>
      <c r="K202">
        <v>1</v>
      </c>
      <c r="L202">
        <v>2</v>
      </c>
      <c r="M202">
        <v>3</v>
      </c>
      <c r="X202" s="26"/>
      <c r="Y202" s="26"/>
      <c r="Z202" s="26"/>
      <c r="AA202" s="26"/>
      <c r="AB202" s="26"/>
      <c r="AC202" s="26"/>
      <c r="AD202" s="26"/>
      <c r="AE202" s="26"/>
    </row>
    <row r="203" spans="4:31" x14ac:dyDescent="0.35">
      <c r="D203" s="26">
        <v>3</v>
      </c>
      <c r="E203" s="16">
        <f>$L$2</f>
        <v>5.9999999999999995E-4</v>
      </c>
      <c r="F203" s="16">
        <f>$M$2</f>
        <v>1.77E-2</v>
      </c>
      <c r="G203" s="16">
        <f>$N$2</f>
        <v>0.98170000000000002</v>
      </c>
      <c r="K203" s="16">
        <f>D204*E203</f>
        <v>9.2766761999999985E-11</v>
      </c>
      <c r="L203" s="16">
        <f>D204*F203</f>
        <v>2.7366194789999996E-9</v>
      </c>
      <c r="M203" s="16">
        <f>D204*G203</f>
        <v>1.5178188375899999E-7</v>
      </c>
      <c r="P203" s="16"/>
      <c r="Q203" s="16"/>
      <c r="R203" s="16"/>
      <c r="X203" s="26"/>
      <c r="Y203" s="26"/>
      <c r="Z203" s="26"/>
      <c r="AA203" s="26"/>
      <c r="AB203" s="26"/>
      <c r="AC203" s="26"/>
      <c r="AD203" s="26"/>
      <c r="AE203" s="26"/>
    </row>
    <row r="204" spans="4:31" x14ac:dyDescent="0.35">
      <c r="D204" s="27">
        <v>1.5461126999999998E-7</v>
      </c>
      <c r="X204" s="26"/>
      <c r="Y204" s="26"/>
      <c r="Z204" s="26"/>
      <c r="AA204" s="26"/>
      <c r="AB204" s="26"/>
      <c r="AC204" s="26"/>
      <c r="AD204" s="26"/>
      <c r="AE204" s="26"/>
    </row>
    <row r="205" spans="4:31" x14ac:dyDescent="0.35">
      <c r="X205" s="26"/>
      <c r="Y205" s="26"/>
      <c r="Z205" s="26"/>
      <c r="AA205" s="26"/>
      <c r="AB205" s="26"/>
      <c r="AC205" s="26"/>
      <c r="AD205" s="26"/>
      <c r="AE205" s="26"/>
    </row>
    <row r="206" spans="4:31" x14ac:dyDescent="0.35">
      <c r="E206">
        <v>1</v>
      </c>
      <c r="F206">
        <v>2</v>
      </c>
      <c r="G206">
        <v>3</v>
      </c>
      <c r="K206">
        <v>1</v>
      </c>
      <c r="L206">
        <v>2</v>
      </c>
      <c r="M206">
        <v>3</v>
      </c>
      <c r="X206" s="26"/>
      <c r="Y206" s="26"/>
      <c r="Z206" s="26"/>
      <c r="AA206" s="26"/>
      <c r="AB206" s="26"/>
      <c r="AC206" s="26"/>
      <c r="AD206" s="26"/>
      <c r="AE206" s="26"/>
    </row>
    <row r="207" spans="4:31" x14ac:dyDescent="0.35">
      <c r="D207" s="26">
        <v>1</v>
      </c>
      <c r="E207" s="16">
        <f>$F$2</f>
        <v>0.94640000000000002</v>
      </c>
      <c r="F207" s="16">
        <f>$G$2</f>
        <v>2.6100000000000002E-2</v>
      </c>
      <c r="G207" s="16">
        <f>$H$2</f>
        <v>2.75E-2</v>
      </c>
      <c r="K207" s="16">
        <f>D208*E207</f>
        <v>2.210079295936512E-5</v>
      </c>
      <c r="L207" s="16">
        <f>D208*F207</f>
        <v>6.0949989036288011E-7</v>
      </c>
      <c r="M207" s="16">
        <f>D208*G207</f>
        <v>6.4219337107199998E-7</v>
      </c>
      <c r="P207" s="16"/>
      <c r="Q207" s="16"/>
      <c r="R207" s="16"/>
      <c r="X207" s="26"/>
      <c r="Y207" s="26"/>
      <c r="Z207" s="26"/>
      <c r="AA207" s="26"/>
      <c r="AB207" s="26"/>
      <c r="AC207" s="26"/>
      <c r="AD207" s="26"/>
      <c r="AE207" s="26"/>
    </row>
    <row r="208" spans="4:31" x14ac:dyDescent="0.35">
      <c r="D208" s="27">
        <v>2.3352486220800001E-5</v>
      </c>
      <c r="X208" s="26"/>
      <c r="Y208" s="26"/>
      <c r="Z208" s="26"/>
      <c r="AA208" s="26"/>
      <c r="AB208" s="26"/>
      <c r="AC208" s="26"/>
      <c r="AD208" s="26"/>
      <c r="AE208" s="26"/>
    </row>
    <row r="209" spans="4:31" x14ac:dyDescent="0.35">
      <c r="X209" s="26"/>
      <c r="Y209" s="26"/>
      <c r="Z209" s="26"/>
      <c r="AA209" s="26"/>
      <c r="AB209" s="26"/>
      <c r="AC209" s="26"/>
      <c r="AD209" s="26"/>
      <c r="AE209" s="26"/>
    </row>
    <row r="210" spans="4:31" x14ac:dyDescent="0.35">
      <c r="E210">
        <v>1</v>
      </c>
      <c r="F210">
        <v>2</v>
      </c>
      <c r="G210">
        <v>3</v>
      </c>
      <c r="K210">
        <v>1</v>
      </c>
      <c r="L210">
        <v>2</v>
      </c>
      <c r="M210">
        <v>3</v>
      </c>
      <c r="X210" s="26"/>
      <c r="Y210" s="26"/>
      <c r="Z210" s="26"/>
      <c r="AA210" s="26"/>
      <c r="AB210" s="26"/>
      <c r="AC210" s="26"/>
      <c r="AD210" s="26"/>
      <c r="AE210" s="26"/>
    </row>
    <row r="211" spans="4:31" x14ac:dyDescent="0.35">
      <c r="D211" s="26">
        <v>2</v>
      </c>
      <c r="E211" s="16">
        <f>$I$2</f>
        <v>0.14080000000000001</v>
      </c>
      <c r="F211" s="16">
        <f>$J$2</f>
        <v>0.32979999999999998</v>
      </c>
      <c r="G211" s="16">
        <f>$K$2</f>
        <v>0.52939999999999998</v>
      </c>
      <c r="K211" s="16">
        <f>D212*E211</f>
        <v>7.7016499556198385E-6</v>
      </c>
      <c r="L211" s="16">
        <f>D212*F211</f>
        <v>1.8039802239797035E-5</v>
      </c>
      <c r="M211" s="16">
        <f>D212*G211</f>
        <v>2.8957766239383115E-5</v>
      </c>
      <c r="X211" s="26"/>
      <c r="Y211" s="26"/>
      <c r="Z211" s="26"/>
      <c r="AA211" s="26"/>
      <c r="AB211" s="26"/>
      <c r="AC211" s="26"/>
      <c r="AD211" s="26"/>
      <c r="AE211" s="26"/>
    </row>
    <row r="212" spans="4:31" x14ac:dyDescent="0.35">
      <c r="D212" s="27">
        <v>5.4699218434799992E-5</v>
      </c>
      <c r="X212" s="26"/>
      <c r="Y212" s="26"/>
      <c r="Z212" s="26"/>
      <c r="AA212" s="26"/>
      <c r="AB212" s="26"/>
      <c r="AC212" s="26"/>
      <c r="AD212" s="26"/>
      <c r="AE212" s="26"/>
    </row>
    <row r="213" spans="4:31" x14ac:dyDescent="0.35">
      <c r="X213" s="26"/>
      <c r="Y213" s="26"/>
      <c r="Z213" s="26"/>
      <c r="AA213" s="26"/>
      <c r="AB213" s="26"/>
      <c r="AC213" s="26"/>
      <c r="AD213" s="26"/>
      <c r="AE213" s="26"/>
    </row>
    <row r="214" spans="4:31" x14ac:dyDescent="0.35">
      <c r="E214">
        <v>1</v>
      </c>
      <c r="F214">
        <v>2</v>
      </c>
      <c r="G214">
        <v>3</v>
      </c>
      <c r="K214">
        <v>1</v>
      </c>
      <c r="L214">
        <v>2</v>
      </c>
      <c r="M214">
        <v>3</v>
      </c>
      <c r="X214" s="26"/>
      <c r="Y214" s="26"/>
      <c r="Z214" s="26"/>
      <c r="AA214" s="26"/>
      <c r="AB214" s="26"/>
      <c r="AC214" s="26"/>
      <c r="AD214" s="26"/>
      <c r="AE214" s="26"/>
    </row>
    <row r="215" spans="4:31" x14ac:dyDescent="0.35">
      <c r="D215" s="26">
        <v>3</v>
      </c>
      <c r="E215" s="16">
        <f>$L$2</f>
        <v>5.9999999999999995E-4</v>
      </c>
      <c r="F215" s="16">
        <f>$M$2</f>
        <v>1.77E-2</v>
      </c>
      <c r="G215" s="16">
        <f>$N$2</f>
        <v>0.98170000000000002</v>
      </c>
      <c r="K215" s="16">
        <f>D216*E215</f>
        <v>3.2819531060879995E-8</v>
      </c>
      <c r="L215" s="16">
        <f>D216*F215</f>
        <v>9.6817616629595992E-7</v>
      </c>
      <c r="M215" s="16">
        <f>D216*G215</f>
        <v>5.3698222737443154E-5</v>
      </c>
      <c r="X215" s="26"/>
      <c r="Y215" s="26"/>
      <c r="Z215" s="26"/>
      <c r="AA215" s="26"/>
      <c r="AB215" s="26"/>
      <c r="AC215" s="26"/>
      <c r="AD215" s="26"/>
      <c r="AE215" s="26"/>
    </row>
    <row r="216" spans="4:31" x14ac:dyDescent="0.35">
      <c r="D216" s="27">
        <v>5.4699218434799992E-5</v>
      </c>
      <c r="X216" s="26"/>
      <c r="Y216" s="26"/>
      <c r="Z216" s="26"/>
      <c r="AA216" s="26"/>
      <c r="AB216" s="26"/>
      <c r="AC216" s="26"/>
      <c r="AD216" s="26"/>
      <c r="AE216" s="26"/>
    </row>
    <row r="217" spans="4:31" x14ac:dyDescent="0.35">
      <c r="X217" s="26"/>
      <c r="Y217" s="26"/>
      <c r="Z217" s="26"/>
      <c r="AA217" s="26"/>
      <c r="AB217" s="26"/>
      <c r="AC217" s="26"/>
      <c r="AD217" s="26"/>
      <c r="AE217" s="26"/>
    </row>
    <row r="218" spans="4:31" x14ac:dyDescent="0.35">
      <c r="E218">
        <v>1</v>
      </c>
      <c r="F218">
        <v>2</v>
      </c>
      <c r="G218">
        <v>3</v>
      </c>
      <c r="K218">
        <v>1</v>
      </c>
      <c r="L218">
        <v>2</v>
      </c>
      <c r="M218">
        <v>3</v>
      </c>
      <c r="X218" s="26"/>
      <c r="Y218" s="26"/>
      <c r="Z218" s="26"/>
      <c r="AA218" s="26"/>
      <c r="AB218" s="26"/>
      <c r="AC218" s="26"/>
      <c r="AD218" s="26"/>
      <c r="AE218" s="26"/>
    </row>
    <row r="219" spans="4:31" x14ac:dyDescent="0.35">
      <c r="D219" s="26">
        <v>1</v>
      </c>
      <c r="E219" s="16">
        <f>$F$2</f>
        <v>0.94640000000000002</v>
      </c>
      <c r="F219" s="16">
        <f>$G$2</f>
        <v>2.6100000000000002E-2</v>
      </c>
      <c r="G219" s="16">
        <f>$H$2</f>
        <v>2.75E-2</v>
      </c>
      <c r="K219" s="16">
        <f>D220*E219</f>
        <v>5.2235045378006391E-6</v>
      </c>
      <c r="L219" s="16">
        <f>D220*F219</f>
        <v>1.4405480604035997E-7</v>
      </c>
      <c r="M219" s="16">
        <f>D220*G219</f>
        <v>1.5178188375899997E-7</v>
      </c>
      <c r="X219" s="26"/>
      <c r="Y219" s="26"/>
      <c r="Z219" s="26"/>
      <c r="AA219" s="26"/>
      <c r="AB219" s="26"/>
      <c r="AC219" s="26"/>
      <c r="AD219" s="26"/>
      <c r="AE219" s="26"/>
    </row>
    <row r="220" spans="4:31" x14ac:dyDescent="0.35">
      <c r="D220" s="27">
        <v>5.5193412275999987E-6</v>
      </c>
      <c r="X220" s="26"/>
      <c r="Y220" s="26"/>
      <c r="Z220" s="26"/>
      <c r="AA220" s="26"/>
      <c r="AB220" s="26"/>
      <c r="AC220" s="26"/>
      <c r="AD220" s="26"/>
      <c r="AE220" s="26"/>
    </row>
    <row r="221" spans="4:31" x14ac:dyDescent="0.35">
      <c r="X221" s="26"/>
      <c r="Y221" s="26"/>
      <c r="Z221" s="26"/>
      <c r="AA221" s="26"/>
      <c r="AB221" s="26"/>
      <c r="AC221" s="26"/>
      <c r="AD221" s="26"/>
      <c r="AE221" s="26"/>
    </row>
    <row r="222" spans="4:31" x14ac:dyDescent="0.35">
      <c r="E222">
        <v>1</v>
      </c>
      <c r="F222">
        <v>2</v>
      </c>
      <c r="G222">
        <v>3</v>
      </c>
      <c r="K222">
        <v>1</v>
      </c>
      <c r="L222">
        <v>2</v>
      </c>
      <c r="M222">
        <v>3</v>
      </c>
      <c r="X222" s="26"/>
      <c r="Y222" s="26"/>
      <c r="Z222" s="26"/>
      <c r="AA222" s="26"/>
      <c r="AB222" s="26"/>
      <c r="AC222" s="26"/>
      <c r="AD222" s="26"/>
      <c r="AE222" s="26"/>
    </row>
    <row r="223" spans="4:31" x14ac:dyDescent="0.35">
      <c r="D223" s="26">
        <v>2</v>
      </c>
      <c r="E223" s="16">
        <f>$I$2</f>
        <v>0.14080000000000001</v>
      </c>
      <c r="F223" s="16">
        <f>$J$2</f>
        <v>0.32979999999999998</v>
      </c>
      <c r="G223" s="16">
        <f>$K$2</f>
        <v>0.52939999999999998</v>
      </c>
      <c r="K223" s="16">
        <f>D224*E223</f>
        <v>2.2925135722959362E-5</v>
      </c>
      <c r="L223" s="16">
        <f>D224*F223</f>
        <v>5.3698222737443154E-5</v>
      </c>
      <c r="M223" s="16">
        <f>D224*G223</f>
        <v>8.619720775379747E-5</v>
      </c>
      <c r="X223" s="26"/>
      <c r="Y223" s="26"/>
      <c r="Z223" s="26"/>
      <c r="AA223" s="26"/>
      <c r="AB223" s="26"/>
      <c r="AC223" s="26"/>
      <c r="AD223" s="26"/>
      <c r="AE223" s="26"/>
    </row>
    <row r="224" spans="4:31" x14ac:dyDescent="0.35">
      <c r="D224" s="27">
        <v>1.628205662142E-4</v>
      </c>
      <c r="X224" s="26"/>
      <c r="Y224" s="26"/>
      <c r="Z224" s="26"/>
      <c r="AA224" s="26"/>
      <c r="AB224" s="26"/>
      <c r="AC224" s="26"/>
      <c r="AD224" s="26"/>
      <c r="AE224" s="26"/>
    </row>
    <row r="225" spans="4:31" x14ac:dyDescent="0.35">
      <c r="X225" s="26"/>
      <c r="Y225" s="26"/>
      <c r="Z225" s="26"/>
      <c r="AA225" s="26"/>
      <c r="AB225" s="26"/>
      <c r="AC225" s="26"/>
      <c r="AD225" s="26"/>
      <c r="AE225" s="26"/>
    </row>
    <row r="226" spans="4:31" x14ac:dyDescent="0.35">
      <c r="E226">
        <v>1</v>
      </c>
      <c r="F226">
        <v>2</v>
      </c>
      <c r="G226">
        <v>3</v>
      </c>
      <c r="K226">
        <v>1</v>
      </c>
      <c r="L226">
        <v>2</v>
      </c>
      <c r="M226">
        <v>3</v>
      </c>
      <c r="X226" s="26"/>
      <c r="Y226" s="26"/>
      <c r="Z226" s="26"/>
      <c r="AA226" s="26"/>
      <c r="AB226" s="26"/>
      <c r="AC226" s="26"/>
      <c r="AD226" s="26"/>
      <c r="AE226" s="26"/>
    </row>
    <row r="227" spans="4:31" x14ac:dyDescent="0.35">
      <c r="D227" s="26">
        <v>3</v>
      </c>
      <c r="E227" s="16">
        <f>$L$2</f>
        <v>5.9999999999999995E-4</v>
      </c>
      <c r="F227" s="16">
        <f>$M$2</f>
        <v>1.77E-2</v>
      </c>
      <c r="G227" s="16">
        <f>$N$2</f>
        <v>0.98170000000000002</v>
      </c>
      <c r="K227" s="16">
        <f>D228*E227</f>
        <v>5.4183372831349189E-6</v>
      </c>
      <c r="L227" s="16">
        <f>D228*F227</f>
        <v>1.5984094985248013E-4</v>
      </c>
      <c r="M227" s="16">
        <f>D228*G227</f>
        <v>8.8653028514225837E-3</v>
      </c>
      <c r="X227" s="26"/>
      <c r="Y227" s="26"/>
      <c r="Z227" s="26"/>
      <c r="AA227" s="26"/>
      <c r="AB227" s="26"/>
      <c r="AC227" s="26"/>
      <c r="AD227" s="26"/>
      <c r="AE227" s="26"/>
    </row>
    <row r="228" spans="4:31" x14ac:dyDescent="0.35">
      <c r="D228" s="27">
        <v>9.0305621385581986E-3</v>
      </c>
      <c r="X228" s="26"/>
      <c r="Y228" s="26"/>
      <c r="Z228" s="26"/>
      <c r="AA228" s="26"/>
      <c r="AB228" s="26"/>
      <c r="AC228" s="26"/>
      <c r="AD228" s="26"/>
      <c r="AE228" s="26"/>
    </row>
    <row r="229" spans="4:31" x14ac:dyDescent="0.35">
      <c r="X229" s="26"/>
      <c r="Y229" s="26"/>
      <c r="Z229" s="26"/>
      <c r="AA229" s="26"/>
      <c r="AB229" s="26"/>
      <c r="AC229" s="26"/>
      <c r="AD229" s="26"/>
      <c r="AE229" s="26"/>
    </row>
    <row r="230" spans="4:31" x14ac:dyDescent="0.35">
      <c r="E230">
        <v>1</v>
      </c>
      <c r="F230">
        <v>2</v>
      </c>
      <c r="G230">
        <v>3</v>
      </c>
      <c r="K230">
        <v>1</v>
      </c>
      <c r="L230">
        <v>2</v>
      </c>
      <c r="M230">
        <v>3</v>
      </c>
      <c r="X230" s="26"/>
      <c r="Y230" s="26"/>
      <c r="Z230" s="26"/>
      <c r="AA230" s="26"/>
      <c r="AB230" s="26"/>
      <c r="AC230" s="26"/>
      <c r="AD230" s="26"/>
      <c r="AE230" s="26"/>
    </row>
    <row r="231" spans="4:31" x14ac:dyDescent="0.35">
      <c r="D231" s="26">
        <v>1</v>
      </c>
      <c r="E231" s="16">
        <f>$F$2</f>
        <v>0.94640000000000002</v>
      </c>
      <c r="F231" s="16">
        <f>$G$2</f>
        <v>2.6100000000000002E-2</v>
      </c>
      <c r="G231" s="16">
        <f>$H$2</f>
        <v>2.75E-2</v>
      </c>
      <c r="K231" s="16">
        <f>D232*E231</f>
        <v>4.9929157312140289E-4</v>
      </c>
      <c r="L231" s="16">
        <f>D232*F231</f>
        <v>1.3769558388069122E-5</v>
      </c>
      <c r="M231" s="16">
        <f>D232*G231</f>
        <v>1.4508155389728E-5</v>
      </c>
      <c r="X231" s="26"/>
      <c r="Y231" s="26"/>
      <c r="Z231" s="26"/>
      <c r="AA231" s="26"/>
      <c r="AB231" s="26"/>
      <c r="AC231" s="26"/>
      <c r="AD231" s="26"/>
      <c r="AE231" s="26"/>
    </row>
    <row r="232" spans="4:31" x14ac:dyDescent="0.35">
      <c r="D232" s="27">
        <v>5.2756928689920001E-4</v>
      </c>
      <c r="X232" s="26"/>
      <c r="Y232" s="26"/>
      <c r="Z232" s="26"/>
      <c r="AA232" s="26"/>
      <c r="AB232" s="26"/>
      <c r="AC232" s="26"/>
      <c r="AD232" s="26"/>
      <c r="AE232" s="26"/>
    </row>
    <row r="233" spans="4:31" x14ac:dyDescent="0.35">
      <c r="X233" s="26"/>
      <c r="Y233" s="26"/>
      <c r="Z233" s="26"/>
      <c r="AA233" s="26"/>
      <c r="AB233" s="26"/>
      <c r="AC233" s="26"/>
      <c r="AD233" s="26"/>
      <c r="AE233" s="26"/>
    </row>
    <row r="234" spans="4:31" x14ac:dyDescent="0.35">
      <c r="E234">
        <v>1</v>
      </c>
      <c r="F234">
        <v>2</v>
      </c>
      <c r="G234">
        <v>3</v>
      </c>
      <c r="K234">
        <v>1</v>
      </c>
      <c r="L234">
        <v>2</v>
      </c>
      <c r="M234">
        <v>3</v>
      </c>
      <c r="X234" s="26"/>
      <c r="Y234" s="26"/>
      <c r="Z234" s="26"/>
      <c r="AA234" s="26"/>
      <c r="AB234" s="26"/>
      <c r="AC234" s="26"/>
      <c r="AD234" s="26"/>
      <c r="AE234" s="26"/>
    </row>
    <row r="235" spans="4:31" x14ac:dyDescent="0.35">
      <c r="D235" s="26">
        <v>2</v>
      </c>
      <c r="E235" s="16">
        <f>$I$2</f>
        <v>0.14080000000000001</v>
      </c>
      <c r="F235" s="16">
        <f>$J$2</f>
        <v>0.32979999999999998</v>
      </c>
      <c r="G235" s="16">
        <f>$K$2</f>
        <v>0.52939999999999998</v>
      </c>
      <c r="K235" s="16">
        <f>D236*E235</f>
        <v>2.0485564465766405E-6</v>
      </c>
      <c r="L235" s="16">
        <f>D236*F235</f>
        <v>4.7983942903478408E-6</v>
      </c>
      <c r="M235" s="16">
        <f>D236*G235</f>
        <v>7.7024558438755216E-6</v>
      </c>
      <c r="X235" s="26"/>
      <c r="Y235" s="26"/>
      <c r="Z235" s="26"/>
      <c r="AA235" s="26"/>
      <c r="AB235" s="26"/>
      <c r="AC235" s="26"/>
      <c r="AD235" s="26"/>
      <c r="AE235" s="26"/>
    </row>
    <row r="236" spans="4:31" x14ac:dyDescent="0.35">
      <c r="D236" s="27">
        <v>1.4549406580800002E-5</v>
      </c>
      <c r="X236" s="26"/>
      <c r="Y236" s="26"/>
      <c r="Z236" s="26"/>
      <c r="AA236" s="26"/>
      <c r="AB236" s="26"/>
      <c r="AC236" s="26"/>
      <c r="AD236" s="26"/>
      <c r="AE236" s="26"/>
    </row>
    <row r="237" spans="4:31" x14ac:dyDescent="0.35">
      <c r="X237" s="26"/>
      <c r="Y237" s="26"/>
      <c r="Z237" s="26"/>
      <c r="AA237" s="26"/>
      <c r="AB237" s="26"/>
      <c r="AC237" s="26"/>
      <c r="AD237" s="26"/>
      <c r="AE237" s="26"/>
    </row>
    <row r="238" spans="4:31" x14ac:dyDescent="0.35">
      <c r="E238">
        <v>1</v>
      </c>
      <c r="F238">
        <v>2</v>
      </c>
      <c r="G238">
        <v>3</v>
      </c>
      <c r="K238">
        <v>1</v>
      </c>
      <c r="L238">
        <v>2</v>
      </c>
      <c r="M238">
        <v>3</v>
      </c>
      <c r="X238" s="26"/>
      <c r="Y238" s="26"/>
      <c r="Z238" s="26"/>
      <c r="AA238" s="26"/>
      <c r="AB238" s="26"/>
      <c r="AC238" s="26"/>
      <c r="AD238" s="26"/>
      <c r="AE238" s="26"/>
    </row>
    <row r="239" spans="4:31" x14ac:dyDescent="0.35">
      <c r="D239" s="26">
        <v>3</v>
      </c>
      <c r="E239" s="16">
        <f>$L$2</f>
        <v>5.9999999999999995E-4</v>
      </c>
      <c r="F239" s="16">
        <f>$M$2</f>
        <v>1.77E-2</v>
      </c>
      <c r="G239" s="16">
        <f>$N$2</f>
        <v>0.98170000000000002</v>
      </c>
      <c r="K239" s="16">
        <f>D240*E239</f>
        <v>8.7296439484800003E-9</v>
      </c>
      <c r="L239" s="16">
        <f>D240*F239</f>
        <v>2.5752449648016005E-7</v>
      </c>
      <c r="M239" s="16">
        <f>D240*G239</f>
        <v>1.4283152440371361E-5</v>
      </c>
      <c r="X239" s="26"/>
      <c r="Y239" s="26"/>
      <c r="Z239" s="26"/>
      <c r="AA239" s="26"/>
      <c r="AB239" s="26"/>
      <c r="AC239" s="26"/>
      <c r="AD239" s="26"/>
      <c r="AE239" s="26"/>
    </row>
    <row r="240" spans="4:31" x14ac:dyDescent="0.35">
      <c r="D240" s="27">
        <v>1.4549406580800002E-5</v>
      </c>
      <c r="X240" s="26"/>
      <c r="Y240" s="26"/>
      <c r="Z240" s="26"/>
      <c r="AA240" s="26"/>
      <c r="AB240" s="26"/>
      <c r="AC240" s="26"/>
      <c r="AD240" s="26"/>
      <c r="AE240" s="26"/>
    </row>
    <row r="241" spans="4:31" x14ac:dyDescent="0.35">
      <c r="X241" s="26"/>
      <c r="Y241" s="26"/>
      <c r="Z241" s="26"/>
      <c r="AA241" s="26"/>
      <c r="AB241" s="26"/>
      <c r="AC241" s="26"/>
      <c r="AD241" s="26"/>
      <c r="AE241" s="26"/>
    </row>
    <row r="242" spans="4:31" x14ac:dyDescent="0.35">
      <c r="E242">
        <v>1</v>
      </c>
      <c r="F242">
        <v>2</v>
      </c>
      <c r="G242">
        <v>3</v>
      </c>
      <c r="K242">
        <v>1</v>
      </c>
      <c r="L242">
        <v>2</v>
      </c>
      <c r="M242">
        <v>3</v>
      </c>
      <c r="X242" s="26"/>
      <c r="Y242" s="26"/>
      <c r="Z242" s="26"/>
      <c r="AA242" s="26"/>
      <c r="AB242" s="26"/>
      <c r="AC242" s="26"/>
      <c r="AD242" s="26"/>
      <c r="AE242" s="26"/>
    </row>
    <row r="243" spans="4:31" x14ac:dyDescent="0.35">
      <c r="D243" s="26">
        <v>1</v>
      </c>
      <c r="E243" s="16">
        <f>$F$2</f>
        <v>0.94640000000000002</v>
      </c>
      <c r="F243" s="16">
        <f>$G$2</f>
        <v>2.6100000000000002E-2</v>
      </c>
      <c r="G243" s="16">
        <f>$H$2</f>
        <v>2.75E-2</v>
      </c>
      <c r="K243" s="16">
        <f>D244*E243</f>
        <v>2.0485564465766405E-6</v>
      </c>
      <c r="L243" s="16">
        <f>D244*F243</f>
        <v>5.6495481039360015E-8</v>
      </c>
      <c r="M243" s="16">
        <f>D244*G243</f>
        <v>5.9525889984000009E-8</v>
      </c>
      <c r="X243" s="26"/>
      <c r="Y243" s="26"/>
      <c r="Z243" s="26"/>
      <c r="AA243" s="26"/>
      <c r="AB243" s="26"/>
      <c r="AC243" s="26"/>
      <c r="AD243" s="26"/>
      <c r="AE243" s="26"/>
    </row>
    <row r="244" spans="4:31" x14ac:dyDescent="0.35">
      <c r="D244" s="27">
        <v>2.1645778176000003E-6</v>
      </c>
      <c r="X244" s="26"/>
      <c r="Y244" s="26"/>
      <c r="Z244" s="26"/>
      <c r="AA244" s="26"/>
      <c r="AB244" s="26"/>
      <c r="AC244" s="26"/>
      <c r="AD244" s="26"/>
      <c r="AE244" s="26"/>
    </row>
    <row r="245" spans="4:31" x14ac:dyDescent="0.35">
      <c r="X245" s="26"/>
      <c r="Y245" s="26"/>
      <c r="Z245" s="26"/>
      <c r="AA245" s="26"/>
      <c r="AB245" s="26"/>
      <c r="AC245" s="26"/>
      <c r="AD245" s="26"/>
      <c r="AE245" s="26"/>
    </row>
    <row r="246" spans="4:31" x14ac:dyDescent="0.35">
      <c r="E246">
        <v>1</v>
      </c>
      <c r="F246">
        <v>2</v>
      </c>
      <c r="G246">
        <v>3</v>
      </c>
      <c r="K246">
        <v>1</v>
      </c>
      <c r="L246">
        <v>2</v>
      </c>
      <c r="M246">
        <v>3</v>
      </c>
      <c r="X246" s="26"/>
      <c r="Y246" s="26"/>
      <c r="Z246" s="26"/>
      <c r="AA246" s="26"/>
      <c r="AB246" s="26"/>
      <c r="AC246" s="26"/>
      <c r="AD246" s="26"/>
      <c r="AE246" s="26"/>
    </row>
    <row r="247" spans="4:31" x14ac:dyDescent="0.35">
      <c r="D247" s="26">
        <v>2</v>
      </c>
      <c r="E247" s="16">
        <f>$I$2</f>
        <v>0.14080000000000001</v>
      </c>
      <c r="F247" s="16">
        <f>$J$2</f>
        <v>0.32979999999999998</v>
      </c>
      <c r="G247" s="16">
        <f>$K$2</f>
        <v>0.52939999999999998</v>
      </c>
      <c r="K247" s="16">
        <f>D248*E247</f>
        <v>7.1387776424448005E-7</v>
      </c>
      <c r="L247" s="16">
        <f>D248*F247</f>
        <v>1.67213697903288E-6</v>
      </c>
      <c r="M247" s="16">
        <f>D248*G247</f>
        <v>2.6841398323226399E-6</v>
      </c>
      <c r="X247" s="26"/>
      <c r="Y247" s="26"/>
      <c r="Z247" s="26"/>
      <c r="AA247" s="26"/>
      <c r="AB247" s="26"/>
      <c r="AC247" s="26"/>
      <c r="AD247" s="26"/>
      <c r="AE247" s="26"/>
    </row>
    <row r="248" spans="4:31" x14ac:dyDescent="0.35">
      <c r="D248" s="27">
        <v>5.0701545756000003E-6</v>
      </c>
      <c r="X248" s="26"/>
      <c r="Y248" s="26"/>
      <c r="Z248" s="26"/>
      <c r="AA248" s="26"/>
      <c r="AB248" s="26"/>
      <c r="AC248" s="26"/>
      <c r="AD248" s="26"/>
      <c r="AE248" s="26"/>
    </row>
    <row r="249" spans="4:31" x14ac:dyDescent="0.35">
      <c r="X249" s="26"/>
      <c r="Y249" s="26"/>
      <c r="Z249" s="26"/>
      <c r="AA249" s="26"/>
      <c r="AB249" s="26"/>
      <c r="AC249" s="26"/>
      <c r="AD249" s="26"/>
      <c r="AE249" s="26"/>
    </row>
    <row r="250" spans="4:31" x14ac:dyDescent="0.35">
      <c r="E250">
        <v>1</v>
      </c>
      <c r="F250">
        <v>2</v>
      </c>
      <c r="G250">
        <v>3</v>
      </c>
      <c r="K250">
        <v>1</v>
      </c>
      <c r="L250">
        <v>2</v>
      </c>
      <c r="M250">
        <v>3</v>
      </c>
      <c r="X250" s="26"/>
      <c r="Y250" s="26"/>
      <c r="Z250" s="26"/>
      <c r="AA250" s="26"/>
      <c r="AB250" s="26"/>
      <c r="AC250" s="26"/>
      <c r="AD250" s="26"/>
      <c r="AE250" s="26"/>
    </row>
    <row r="251" spans="4:31" x14ac:dyDescent="0.35">
      <c r="D251" s="26">
        <v>3</v>
      </c>
      <c r="E251" s="16">
        <f>$L$2</f>
        <v>5.9999999999999995E-4</v>
      </c>
      <c r="F251" s="16">
        <f>$M$2</f>
        <v>1.77E-2</v>
      </c>
      <c r="G251" s="16">
        <f>$N$2</f>
        <v>0.98170000000000002</v>
      </c>
      <c r="K251" s="16">
        <f>D252*E251</f>
        <v>4.8832137640800005E-9</v>
      </c>
      <c r="L251" s="16">
        <f>D252*F251</f>
        <v>1.4405480604036002E-7</v>
      </c>
      <c r="M251" s="16">
        <f>D252*G251</f>
        <v>7.9897515869955607E-6</v>
      </c>
      <c r="X251" s="26"/>
      <c r="Y251" s="26"/>
      <c r="Z251" s="26"/>
      <c r="AA251" s="27"/>
      <c r="AB251" s="27"/>
      <c r="AC251" s="27"/>
      <c r="AD251" s="26"/>
      <c r="AE251" s="26"/>
    </row>
    <row r="252" spans="4:31" x14ac:dyDescent="0.35">
      <c r="D252" s="27">
        <v>8.1386896068000009E-6</v>
      </c>
      <c r="X252" s="26"/>
      <c r="Y252" s="26"/>
      <c r="Z252" s="26"/>
      <c r="AA252" s="26"/>
      <c r="AB252" s="26"/>
      <c r="AC252" s="26"/>
      <c r="AD252" s="26"/>
      <c r="AE252" s="26"/>
    </row>
    <row r="253" spans="4:31" x14ac:dyDescent="0.35">
      <c r="X253" s="26"/>
      <c r="Y253" s="26"/>
      <c r="Z253" s="26"/>
      <c r="AA253" s="26"/>
      <c r="AB253" s="26"/>
      <c r="AC253" s="26"/>
      <c r="AD253" s="26"/>
      <c r="AE253" s="26"/>
    </row>
    <row r="254" spans="4:31" x14ac:dyDescent="0.35">
      <c r="E254">
        <v>1</v>
      </c>
      <c r="F254">
        <v>2</v>
      </c>
      <c r="G254">
        <v>3</v>
      </c>
      <c r="K254">
        <v>1</v>
      </c>
      <c r="L254">
        <v>2</v>
      </c>
      <c r="M254">
        <v>3</v>
      </c>
      <c r="X254" s="26"/>
      <c r="Y254" s="26"/>
      <c r="Z254" s="26"/>
      <c r="AA254" s="26"/>
      <c r="AB254" s="26"/>
      <c r="AC254" s="26"/>
      <c r="AD254" s="26"/>
      <c r="AE254" s="26"/>
    </row>
    <row r="255" spans="4:31" x14ac:dyDescent="0.35">
      <c r="D255" s="26">
        <v>1</v>
      </c>
      <c r="E255" s="16">
        <f>$F$2</f>
        <v>0.94640000000000002</v>
      </c>
      <c r="F255" s="16">
        <f>$G$2</f>
        <v>2.6100000000000002E-2</v>
      </c>
      <c r="G255" s="16">
        <f>$H$2</f>
        <v>2.75E-2</v>
      </c>
      <c r="K255" s="16">
        <f>D256*E255</f>
        <v>9.1979007120000006E-9</v>
      </c>
      <c r="L255" s="16">
        <f>D256*F255</f>
        <v>2.53661463E-10</v>
      </c>
      <c r="M255" s="16">
        <f>D256*G255</f>
        <v>2.6726782499999998E-10</v>
      </c>
      <c r="X255" s="26"/>
      <c r="Y255" s="26"/>
      <c r="Z255" s="26"/>
      <c r="AA255" s="27"/>
      <c r="AB255" s="27"/>
      <c r="AC255" s="27"/>
      <c r="AD255" s="26"/>
      <c r="AE255" s="26"/>
    </row>
    <row r="256" spans="4:31" x14ac:dyDescent="0.35">
      <c r="D256" s="27">
        <v>9.7188299999999996E-9</v>
      </c>
      <c r="X256" s="26"/>
      <c r="Y256" s="26"/>
      <c r="Z256" s="26"/>
      <c r="AA256" s="26"/>
      <c r="AB256" s="26"/>
      <c r="AC256" s="26"/>
      <c r="AD256" s="26"/>
      <c r="AE256" s="26"/>
    </row>
    <row r="257" spans="4:31" x14ac:dyDescent="0.35">
      <c r="X257" s="26"/>
      <c r="Y257" s="26"/>
      <c r="Z257" s="26"/>
      <c r="AA257" s="26"/>
      <c r="AB257" s="26"/>
      <c r="AC257" s="26"/>
      <c r="AD257" s="26"/>
      <c r="AE257" s="26"/>
    </row>
    <row r="258" spans="4:31" x14ac:dyDescent="0.35">
      <c r="E258">
        <v>1</v>
      </c>
      <c r="F258">
        <v>2</v>
      </c>
      <c r="G258">
        <v>3</v>
      </c>
      <c r="K258">
        <v>1</v>
      </c>
      <c r="L258">
        <v>2</v>
      </c>
      <c r="M258">
        <v>3</v>
      </c>
      <c r="X258" s="26"/>
      <c r="Y258" s="26"/>
      <c r="Z258" s="26"/>
      <c r="AA258" s="26"/>
      <c r="AB258" s="26"/>
      <c r="AC258" s="26"/>
      <c r="AD258" s="26"/>
      <c r="AE258" s="26"/>
    </row>
    <row r="259" spans="4:31" x14ac:dyDescent="0.35">
      <c r="D259" s="26">
        <v>2</v>
      </c>
      <c r="E259" s="16">
        <f>$I$2</f>
        <v>0.14080000000000001</v>
      </c>
      <c r="F259" s="16">
        <f>$J$2</f>
        <v>0.32979999999999998</v>
      </c>
      <c r="G259" s="16">
        <f>$K$2</f>
        <v>0.52939999999999998</v>
      </c>
      <c r="K259" s="16">
        <f>D260*E259</f>
        <v>1.368411264E-9</v>
      </c>
      <c r="L259" s="16">
        <f>D260*F259</f>
        <v>3.2052701339999998E-9</v>
      </c>
      <c r="M259" s="16">
        <f>D260*G259</f>
        <v>5.1451486019999996E-9</v>
      </c>
      <c r="X259" s="26"/>
      <c r="Y259" s="26"/>
      <c r="Z259" s="26"/>
      <c r="AA259" s="27"/>
      <c r="AB259" s="27"/>
      <c r="AC259" s="27"/>
      <c r="AD259" s="26"/>
      <c r="AE259" s="26"/>
    </row>
    <row r="260" spans="4:31" x14ac:dyDescent="0.35">
      <c r="D260" s="27">
        <v>9.7188299999999996E-9</v>
      </c>
      <c r="X260" s="26"/>
      <c r="Y260" s="26"/>
      <c r="Z260" s="26"/>
      <c r="AA260" s="26"/>
      <c r="AB260" s="26"/>
      <c r="AC260" s="26"/>
      <c r="AD260" s="26"/>
      <c r="AE260" s="26"/>
    </row>
    <row r="261" spans="4:31" x14ac:dyDescent="0.35">
      <c r="X261" s="26"/>
      <c r="Y261" s="26"/>
      <c r="Z261" s="26"/>
      <c r="AA261" s="26"/>
      <c r="AB261" s="26"/>
      <c r="AC261" s="26"/>
      <c r="AD261" s="26"/>
      <c r="AE261" s="26"/>
    </row>
    <row r="262" spans="4:31" x14ac:dyDescent="0.35">
      <c r="E262">
        <v>1</v>
      </c>
      <c r="F262">
        <v>2</v>
      </c>
      <c r="G262">
        <v>3</v>
      </c>
      <c r="K262">
        <v>1</v>
      </c>
      <c r="L262">
        <v>2</v>
      </c>
      <c r="M262">
        <v>3</v>
      </c>
      <c r="X262" s="26"/>
      <c r="Y262" s="26"/>
      <c r="Z262" s="26"/>
      <c r="AA262" s="26"/>
      <c r="AB262" s="26"/>
      <c r="AC262" s="26"/>
      <c r="AD262" s="26"/>
      <c r="AE262" s="26"/>
    </row>
    <row r="263" spans="4:31" x14ac:dyDescent="0.35">
      <c r="D263" s="26">
        <v>3</v>
      </c>
      <c r="E263" s="16">
        <f>$L$2</f>
        <v>5.9999999999999995E-4</v>
      </c>
      <c r="F263" s="16">
        <f>$M$2</f>
        <v>1.77E-2</v>
      </c>
      <c r="G263" s="16">
        <f>$N$2</f>
        <v>0.98170000000000002</v>
      </c>
      <c r="K263" s="16">
        <f>D264*E263</f>
        <v>5.8312979999999997E-12</v>
      </c>
      <c r="L263" s="16">
        <f>D264*F263</f>
        <v>1.7202329100000001E-10</v>
      </c>
      <c r="M263" s="16">
        <f>D264*G263</f>
        <v>9.5409754109999996E-9</v>
      </c>
      <c r="X263" s="26"/>
      <c r="Y263" s="26"/>
      <c r="Z263" s="26"/>
      <c r="AA263" s="27"/>
      <c r="AB263" s="27"/>
      <c r="AC263" s="27"/>
      <c r="AD263" s="26"/>
      <c r="AE263" s="26"/>
    </row>
    <row r="264" spans="4:31" x14ac:dyDescent="0.35">
      <c r="D264" s="27">
        <v>9.7188299999999996E-9</v>
      </c>
      <c r="X264" s="26"/>
      <c r="Y264" s="26"/>
      <c r="Z264" s="26"/>
      <c r="AA264" s="26"/>
      <c r="AB264" s="26"/>
      <c r="AC264" s="26"/>
      <c r="AD264" s="26"/>
      <c r="AE264" s="26"/>
    </row>
    <row r="265" spans="4:31" x14ac:dyDescent="0.35">
      <c r="X265" s="26"/>
      <c r="Y265" s="26"/>
      <c r="Z265" s="26"/>
      <c r="AA265" s="26"/>
      <c r="AB265" s="26"/>
      <c r="AC265" s="26"/>
      <c r="AD265" s="26"/>
      <c r="AE265" s="26"/>
    </row>
    <row r="266" spans="4:31" x14ac:dyDescent="0.35">
      <c r="E266">
        <v>1</v>
      </c>
      <c r="F266">
        <v>2</v>
      </c>
      <c r="G266">
        <v>3</v>
      </c>
      <c r="K266">
        <v>1</v>
      </c>
      <c r="L266">
        <v>2</v>
      </c>
      <c r="M266">
        <v>3</v>
      </c>
      <c r="X266" s="26"/>
      <c r="Y266" s="26"/>
      <c r="Z266" s="26"/>
      <c r="AA266" s="26"/>
      <c r="AB266" s="26"/>
      <c r="AC266" s="26"/>
      <c r="AD266" s="26"/>
      <c r="AE266" s="26"/>
    </row>
    <row r="267" spans="4:31" x14ac:dyDescent="0.35">
      <c r="D267" s="26">
        <v>1</v>
      </c>
      <c r="E267" s="16">
        <f>$F$2</f>
        <v>0.94640000000000002</v>
      </c>
      <c r="F267" s="16">
        <f>$G$2</f>
        <v>2.6100000000000002E-2</v>
      </c>
      <c r="G267" s="16">
        <f>$H$2</f>
        <v>2.75E-2</v>
      </c>
      <c r="K267" s="16">
        <f>D268*E267</f>
        <v>2.1913117900645173E-3</v>
      </c>
      <c r="L267" s="16">
        <f>D268*F267</f>
        <v>6.043241517401088E-5</v>
      </c>
      <c r="M267" s="16">
        <f>D268*G267</f>
        <v>6.3674000662271996E-5</v>
      </c>
      <c r="X267" s="26"/>
      <c r="Y267" s="26"/>
      <c r="Z267" s="26"/>
      <c r="AA267" s="27"/>
      <c r="AB267" s="27"/>
      <c r="AC267" s="27"/>
      <c r="AD267" s="26"/>
      <c r="AE267" s="26"/>
    </row>
    <row r="268" spans="4:31" x14ac:dyDescent="0.35">
      <c r="D268" s="27">
        <v>2.3154182059008E-3</v>
      </c>
      <c r="X268" s="26"/>
      <c r="Y268" s="26"/>
      <c r="Z268" s="26"/>
      <c r="AA268" s="26"/>
      <c r="AB268" s="26"/>
      <c r="AC268" s="26"/>
      <c r="AD268" s="26"/>
      <c r="AE268" s="26"/>
    </row>
    <row r="269" spans="4:31" x14ac:dyDescent="0.35">
      <c r="X269" s="26"/>
      <c r="Y269" s="26"/>
      <c r="Z269" s="26"/>
      <c r="AA269" s="26"/>
      <c r="AB269" s="26"/>
      <c r="AC269" s="26"/>
      <c r="AD269" s="26"/>
      <c r="AE269" s="26"/>
    </row>
    <row r="270" spans="4:31" x14ac:dyDescent="0.35">
      <c r="E270">
        <v>1</v>
      </c>
      <c r="F270">
        <v>2</v>
      </c>
      <c r="G270">
        <v>3</v>
      </c>
      <c r="K270">
        <v>1</v>
      </c>
      <c r="L270">
        <v>2</v>
      </c>
      <c r="M270">
        <v>3</v>
      </c>
      <c r="X270" s="26"/>
      <c r="Y270" s="26"/>
      <c r="Z270" s="26"/>
      <c r="AA270" s="26"/>
      <c r="AB270" s="26"/>
      <c r="AC270" s="26"/>
      <c r="AD270" s="26"/>
      <c r="AE270" s="26"/>
    </row>
    <row r="271" spans="4:31" x14ac:dyDescent="0.35">
      <c r="D271" s="26">
        <v>2</v>
      </c>
      <c r="E271" s="16">
        <f>$I$2</f>
        <v>0.14080000000000001</v>
      </c>
      <c r="F271" s="16">
        <f>$J$2</f>
        <v>0.32979999999999998</v>
      </c>
      <c r="G271" s="16">
        <f>$K$2</f>
        <v>0.52939999999999998</v>
      </c>
      <c r="K271" s="16">
        <f>D272*E271</f>
        <v>8.9907904231833607E-6</v>
      </c>
      <c r="L271" s="16">
        <f>D272*F271</f>
        <v>2.105939404521216E-5</v>
      </c>
      <c r="M271" s="16">
        <f>D272*G271</f>
        <v>3.3804861150804484E-5</v>
      </c>
      <c r="X271" s="26"/>
      <c r="Y271" s="26"/>
      <c r="Z271" s="26"/>
      <c r="AA271" s="27"/>
      <c r="AB271" s="27"/>
      <c r="AC271" s="27"/>
      <c r="AD271" s="26"/>
      <c r="AE271" s="26"/>
    </row>
    <row r="272" spans="4:31" x14ac:dyDescent="0.35">
      <c r="D272" s="27">
        <v>6.3855045619200005E-5</v>
      </c>
      <c r="X272" s="26"/>
      <c r="Y272" s="26"/>
      <c r="Z272" s="26"/>
      <c r="AA272" s="26"/>
      <c r="AB272" s="26"/>
      <c r="AC272" s="26"/>
      <c r="AD272" s="26"/>
      <c r="AE272" s="26"/>
    </row>
    <row r="273" spans="4:31" x14ac:dyDescent="0.35">
      <c r="X273" s="26"/>
      <c r="Y273" s="26"/>
      <c r="Z273" s="26"/>
      <c r="AA273" s="26"/>
      <c r="AB273" s="26"/>
      <c r="AC273" s="26"/>
      <c r="AD273" s="26"/>
      <c r="AE273" s="26"/>
    </row>
    <row r="274" spans="4:31" x14ac:dyDescent="0.35">
      <c r="E274">
        <v>1</v>
      </c>
      <c r="F274">
        <v>2</v>
      </c>
      <c r="G274">
        <v>3</v>
      </c>
      <c r="K274">
        <v>1</v>
      </c>
      <c r="L274">
        <v>2</v>
      </c>
      <c r="M274">
        <v>3</v>
      </c>
      <c r="X274" s="26"/>
      <c r="Y274" s="26"/>
      <c r="Z274" s="26"/>
      <c r="AA274" s="26"/>
      <c r="AB274" s="26"/>
      <c r="AC274" s="26"/>
      <c r="AD274" s="26"/>
      <c r="AE274" s="26"/>
    </row>
    <row r="275" spans="4:31" x14ac:dyDescent="0.35">
      <c r="D275" s="26">
        <v>3</v>
      </c>
      <c r="E275" s="16">
        <f>$L$2</f>
        <v>5.9999999999999995E-4</v>
      </c>
      <c r="F275" s="16">
        <f>$M$2</f>
        <v>1.77E-2</v>
      </c>
      <c r="G275" s="16">
        <f>$N$2</f>
        <v>0.98170000000000002</v>
      </c>
      <c r="K275" s="16">
        <f>D276*E275</f>
        <v>4.0368132287999994E-8</v>
      </c>
      <c r="L275" s="16">
        <f>D276*F275</f>
        <v>1.190859902496E-6</v>
      </c>
      <c r="M275" s="16">
        <f>D276*G275</f>
        <v>6.6048992445216003E-5</v>
      </c>
      <c r="X275" s="26"/>
      <c r="Y275" s="26"/>
      <c r="Z275" s="26"/>
      <c r="AA275" s="27"/>
      <c r="AB275" s="27"/>
      <c r="AC275" s="27"/>
      <c r="AD275" s="26"/>
      <c r="AE275" s="26"/>
    </row>
    <row r="276" spans="4:31" x14ac:dyDescent="0.35">
      <c r="D276" s="27">
        <v>6.728022048E-5</v>
      </c>
      <c r="X276" s="26"/>
      <c r="Y276" s="26"/>
      <c r="Z276" s="26"/>
      <c r="AA276" s="26"/>
      <c r="AB276" s="26"/>
      <c r="AC276" s="26"/>
      <c r="AD276" s="26"/>
      <c r="AE276" s="26"/>
    </row>
    <row r="277" spans="4:31" x14ac:dyDescent="0.35">
      <c r="X277" s="26"/>
      <c r="Y277" s="26"/>
      <c r="Z277" s="26"/>
      <c r="AA277" s="26"/>
      <c r="AB277" s="26"/>
      <c r="AC277" s="26"/>
      <c r="AD277" s="26"/>
      <c r="AE277" s="26"/>
    </row>
    <row r="278" spans="4:31" x14ac:dyDescent="0.35">
      <c r="E278">
        <v>1</v>
      </c>
      <c r="F278">
        <v>2</v>
      </c>
      <c r="G278">
        <v>3</v>
      </c>
      <c r="K278">
        <v>1</v>
      </c>
      <c r="L278">
        <v>2</v>
      </c>
      <c r="M278">
        <v>3</v>
      </c>
      <c r="X278" s="26"/>
      <c r="Y278" s="26"/>
      <c r="Z278" s="26"/>
      <c r="AA278" s="26"/>
      <c r="AB278" s="26"/>
      <c r="AC278" s="26"/>
      <c r="AD278" s="26"/>
      <c r="AE278" s="26"/>
    </row>
    <row r="279" spans="4:31" x14ac:dyDescent="0.35">
      <c r="D279" s="26">
        <v>1</v>
      </c>
      <c r="E279" s="16">
        <f>$F$2</f>
        <v>0.94640000000000002</v>
      </c>
      <c r="F279" s="16">
        <f>$G$2</f>
        <v>2.6100000000000002E-2</v>
      </c>
      <c r="G279" s="16">
        <f>$H$2</f>
        <v>2.75E-2</v>
      </c>
      <c r="K279" s="16">
        <f>D280*E279</f>
        <v>7.6362492430608389E-4</v>
      </c>
      <c r="L279" s="16">
        <f>D280*F279</f>
        <v>2.105939404521216E-5</v>
      </c>
      <c r="M279" s="16">
        <f>D280*G279</f>
        <v>2.2189016714304E-5</v>
      </c>
      <c r="X279" s="26"/>
      <c r="Y279" s="26"/>
      <c r="Z279" s="26"/>
      <c r="AA279" s="27"/>
      <c r="AB279" s="27"/>
      <c r="AC279" s="27"/>
      <c r="AD279" s="26"/>
      <c r="AE279" s="26"/>
    </row>
    <row r="280" spans="4:31" x14ac:dyDescent="0.35">
      <c r="D280" s="27">
        <v>8.0687333506559999E-4</v>
      </c>
      <c r="X280" s="26"/>
      <c r="Y280" s="26"/>
      <c r="Z280" s="26"/>
      <c r="AA280" s="26"/>
      <c r="AB280" s="26"/>
      <c r="AC280" s="26"/>
      <c r="AD280" s="26"/>
      <c r="AE280" s="26"/>
    </row>
    <row r="281" spans="4:31" x14ac:dyDescent="0.35">
      <c r="X281" s="26"/>
      <c r="Y281" s="26"/>
      <c r="Z281" s="26"/>
      <c r="AA281" s="26"/>
      <c r="AB281" s="26"/>
      <c r="AC281" s="26"/>
      <c r="AD281" s="26"/>
      <c r="AE281" s="26"/>
    </row>
    <row r="282" spans="4:31" x14ac:dyDescent="0.35">
      <c r="E282">
        <v>1</v>
      </c>
      <c r="F282">
        <v>2</v>
      </c>
      <c r="G282">
        <v>3</v>
      </c>
      <c r="K282">
        <v>1</v>
      </c>
      <c r="L282">
        <v>2</v>
      </c>
      <c r="M282">
        <v>3</v>
      </c>
      <c r="X282" s="26"/>
      <c r="Y282" s="26"/>
      <c r="Z282" s="26"/>
      <c r="AA282" s="26"/>
      <c r="AB282" s="26"/>
      <c r="AC282" s="26"/>
      <c r="AD282" s="26"/>
      <c r="AE282" s="26"/>
    </row>
    <row r="283" spans="4:31" x14ac:dyDescent="0.35">
      <c r="D283" s="26">
        <v>2</v>
      </c>
      <c r="E283" s="16">
        <f>$I$2</f>
        <v>0.14080000000000001</v>
      </c>
      <c r="F283" s="16">
        <f>$J$2</f>
        <v>0.32979999999999998</v>
      </c>
      <c r="G283" s="16">
        <f>$K$2</f>
        <v>0.52939999999999998</v>
      </c>
      <c r="K283" s="16">
        <f>D284*E283</f>
        <v>2.6610682590463489E-4</v>
      </c>
      <c r="L283" s="16">
        <f>D284*F283</f>
        <v>6.2330988056355518E-4</v>
      </c>
      <c r="M283" s="16">
        <f>D284*G283</f>
        <v>1.0005465456954098E-3</v>
      </c>
      <c r="X283" s="26"/>
      <c r="Y283" s="26"/>
      <c r="Z283" s="26"/>
      <c r="AA283" s="26"/>
      <c r="AB283" s="26"/>
      <c r="AC283" s="26"/>
      <c r="AD283" s="26"/>
      <c r="AE283" s="26"/>
    </row>
    <row r="284" spans="4:31" x14ac:dyDescent="0.35">
      <c r="D284" s="27">
        <v>1.8899632521635998E-3</v>
      </c>
      <c r="X284" s="26"/>
      <c r="Y284" s="26"/>
      <c r="Z284" s="26"/>
      <c r="AA284" s="26"/>
      <c r="AB284" s="26"/>
      <c r="AC284" s="26"/>
      <c r="AD284" s="26"/>
      <c r="AE284" s="26"/>
    </row>
    <row r="285" spans="4:31" x14ac:dyDescent="0.35">
      <c r="X285" s="26"/>
      <c r="Y285" s="26"/>
      <c r="Z285" s="26"/>
      <c r="AA285" s="26"/>
      <c r="AB285" s="26"/>
      <c r="AC285" s="26"/>
      <c r="AD285" s="26"/>
      <c r="AE285" s="26"/>
    </row>
    <row r="286" spans="4:31" x14ac:dyDescent="0.35">
      <c r="E286">
        <v>1</v>
      </c>
      <c r="F286">
        <v>2</v>
      </c>
      <c r="G286">
        <v>3</v>
      </c>
      <c r="K286">
        <v>1</v>
      </c>
      <c r="L286">
        <v>2</v>
      </c>
      <c r="M286">
        <v>3</v>
      </c>
      <c r="X286" s="26"/>
      <c r="Y286" s="26"/>
      <c r="Z286" s="26"/>
      <c r="AA286" s="26"/>
      <c r="AB286" s="26"/>
      <c r="AC286" s="26"/>
      <c r="AD286" s="26"/>
      <c r="AE286" s="26"/>
    </row>
    <row r="287" spans="4:31" x14ac:dyDescent="0.35">
      <c r="D287" s="26">
        <v>3</v>
      </c>
      <c r="E287" s="16">
        <f>$L$2</f>
        <v>5.9999999999999995E-4</v>
      </c>
      <c r="F287" s="16">
        <f>$M$2</f>
        <v>1.77E-2</v>
      </c>
      <c r="G287" s="16">
        <f>$N$2</f>
        <v>0.98170000000000002</v>
      </c>
      <c r="K287" s="16">
        <f>D288*E287</f>
        <v>1.8202787368624798E-6</v>
      </c>
      <c r="L287" s="16">
        <f>D288*F287</f>
        <v>5.3698222737443161E-5</v>
      </c>
      <c r="M287" s="16">
        <f>D288*G287</f>
        <v>2.9782793932964942E-3</v>
      </c>
      <c r="X287" s="26"/>
      <c r="Y287" s="26"/>
      <c r="Z287" s="26"/>
      <c r="AA287" s="26"/>
      <c r="AB287" s="26"/>
      <c r="AC287" s="26"/>
      <c r="AD287" s="26"/>
      <c r="AE287" s="26"/>
    </row>
    <row r="288" spans="4:31" x14ac:dyDescent="0.35">
      <c r="D288" s="27">
        <v>3.0337978947708E-3</v>
      </c>
      <c r="X288" s="26"/>
      <c r="Y288" s="26"/>
      <c r="Z288" s="26"/>
      <c r="AA288" s="26"/>
      <c r="AB288" s="26"/>
      <c r="AC288" s="26"/>
      <c r="AD288" s="26"/>
      <c r="AE288" s="26"/>
    </row>
    <row r="289" spans="4:31" x14ac:dyDescent="0.35">
      <c r="X289" s="26"/>
      <c r="Y289" s="26"/>
      <c r="Z289" s="26"/>
      <c r="AA289" s="26"/>
      <c r="AB289" s="26"/>
      <c r="AC289" s="26"/>
      <c r="AD289" s="26"/>
      <c r="AE289" s="26"/>
    </row>
    <row r="290" spans="4:31" x14ac:dyDescent="0.35">
      <c r="E290">
        <v>1</v>
      </c>
      <c r="F290">
        <v>2</v>
      </c>
      <c r="G290">
        <v>3</v>
      </c>
      <c r="K290">
        <v>1</v>
      </c>
      <c r="L290">
        <v>2</v>
      </c>
      <c r="M290">
        <v>3</v>
      </c>
      <c r="X290" s="26"/>
      <c r="Y290" s="26"/>
      <c r="Z290" s="26"/>
      <c r="AA290" s="26"/>
      <c r="AB290" s="26"/>
      <c r="AC290" s="26"/>
      <c r="AD290" s="26"/>
      <c r="AE290" s="26"/>
    </row>
    <row r="291" spans="4:31" x14ac:dyDescent="0.35">
      <c r="D291" s="26">
        <v>1</v>
      </c>
      <c r="E291" s="16">
        <f>$F$2</f>
        <v>0.94640000000000002</v>
      </c>
      <c r="F291" s="16">
        <f>$G$2</f>
        <v>2.6100000000000002E-2</v>
      </c>
      <c r="G291" s="16">
        <f>$H$2</f>
        <v>2.75E-2</v>
      </c>
      <c r="K291" s="16">
        <f>D292*E291</f>
        <v>5.2235045378006391E-6</v>
      </c>
      <c r="L291" s="16">
        <f>D292*F291</f>
        <v>1.4405480604035997E-7</v>
      </c>
      <c r="M291" s="16">
        <f>D292*G291</f>
        <v>1.5178188375899997E-7</v>
      </c>
      <c r="X291" s="26"/>
      <c r="Y291" s="26"/>
      <c r="Z291" s="26"/>
      <c r="AA291" s="26"/>
      <c r="AB291" s="26"/>
      <c r="AC291" s="26"/>
      <c r="AD291" s="26"/>
      <c r="AE291" s="26"/>
    </row>
    <row r="292" spans="4:31" x14ac:dyDescent="0.35">
      <c r="D292" s="27">
        <v>5.5193412275999987E-6</v>
      </c>
      <c r="X292" s="26"/>
      <c r="Y292" s="26"/>
      <c r="Z292" s="26"/>
      <c r="AA292" s="26"/>
      <c r="AB292" s="26"/>
      <c r="AC292" s="26"/>
      <c r="AD292" s="26"/>
      <c r="AE292" s="26"/>
    </row>
    <row r="293" spans="4:31" x14ac:dyDescent="0.35">
      <c r="X293" s="26"/>
      <c r="Y293" s="26"/>
      <c r="Z293" s="26"/>
      <c r="AA293" s="26"/>
      <c r="AB293" s="26"/>
      <c r="AC293" s="26"/>
      <c r="AD293" s="26"/>
      <c r="AE293" s="26"/>
    </row>
    <row r="294" spans="4:31" x14ac:dyDescent="0.35">
      <c r="E294">
        <v>1</v>
      </c>
      <c r="F294">
        <v>2</v>
      </c>
      <c r="G294">
        <v>3</v>
      </c>
      <c r="K294">
        <v>1</v>
      </c>
      <c r="L294">
        <v>2</v>
      </c>
      <c r="M294">
        <v>3</v>
      </c>
      <c r="X294" s="26"/>
      <c r="Y294" s="26"/>
      <c r="Z294" s="26"/>
      <c r="AA294" s="26"/>
      <c r="AB294" s="26"/>
      <c r="AC294" s="26"/>
      <c r="AD294" s="26"/>
      <c r="AE294" s="26"/>
    </row>
    <row r="295" spans="4:31" x14ac:dyDescent="0.35">
      <c r="D295" s="26">
        <v>2</v>
      </c>
      <c r="E295" s="16">
        <f>$I$2</f>
        <v>0.14080000000000001</v>
      </c>
      <c r="F295" s="16">
        <f>$J$2</f>
        <v>0.32979999999999998</v>
      </c>
      <c r="G295" s="16">
        <f>$K$2</f>
        <v>0.52939999999999998</v>
      </c>
      <c r="K295" s="16">
        <f>D296*E295</f>
        <v>2.2925135722959362E-5</v>
      </c>
      <c r="L295" s="16">
        <f>D296*F295</f>
        <v>5.3698222737443154E-5</v>
      </c>
      <c r="M295" s="16">
        <f>D296*G295</f>
        <v>8.619720775379747E-5</v>
      </c>
      <c r="X295" s="26"/>
      <c r="Y295" s="26"/>
      <c r="Z295" s="26"/>
      <c r="AA295" s="26"/>
      <c r="AB295" s="26"/>
      <c r="AC295" s="26"/>
      <c r="AD295" s="26"/>
      <c r="AE295" s="26"/>
    </row>
    <row r="296" spans="4:31" x14ac:dyDescent="0.35">
      <c r="D296" s="27">
        <v>1.628205662142E-4</v>
      </c>
      <c r="X296" s="26"/>
      <c r="Y296" s="26"/>
      <c r="Z296" s="26"/>
      <c r="AA296" s="26"/>
      <c r="AB296" s="26"/>
      <c r="AC296" s="26"/>
      <c r="AD296" s="26"/>
      <c r="AE296" s="26"/>
    </row>
    <row r="297" spans="4:31" x14ac:dyDescent="0.35">
      <c r="X297" s="26"/>
      <c r="Y297" s="26"/>
      <c r="Z297" s="26"/>
      <c r="AA297" s="26"/>
      <c r="AB297" s="26"/>
      <c r="AC297" s="26"/>
      <c r="AD297" s="26"/>
      <c r="AE297" s="26"/>
    </row>
    <row r="298" spans="4:31" x14ac:dyDescent="0.35">
      <c r="E298">
        <v>1</v>
      </c>
      <c r="F298">
        <v>2</v>
      </c>
      <c r="G298">
        <v>3</v>
      </c>
      <c r="K298">
        <v>1</v>
      </c>
      <c r="L298">
        <v>2</v>
      </c>
      <c r="M298">
        <v>3</v>
      </c>
      <c r="X298" s="26"/>
      <c r="Y298" s="26"/>
      <c r="Z298" s="26"/>
      <c r="AA298" s="26"/>
      <c r="AB298" s="26"/>
      <c r="AC298" s="26"/>
      <c r="AD298" s="26"/>
      <c r="AE298" s="26"/>
    </row>
    <row r="299" spans="4:31" x14ac:dyDescent="0.35">
      <c r="D299" s="26">
        <v>3</v>
      </c>
      <c r="E299" s="16">
        <f>$L$2</f>
        <v>5.9999999999999995E-4</v>
      </c>
      <c r="F299" s="16">
        <f>$M$2</f>
        <v>1.77E-2</v>
      </c>
      <c r="G299" s="16">
        <f>$N$2</f>
        <v>0.98170000000000002</v>
      </c>
      <c r="K299" s="16">
        <f>D300*E299</f>
        <v>5.4183372831349189E-6</v>
      </c>
      <c r="L299" s="16">
        <f>D300*F299</f>
        <v>1.5984094985248013E-4</v>
      </c>
      <c r="M299" s="16">
        <f>D300*G299</f>
        <v>8.8653028514225837E-3</v>
      </c>
      <c r="X299" s="26"/>
      <c r="Y299" s="26"/>
      <c r="Z299" s="26"/>
      <c r="AA299" s="26"/>
      <c r="AB299" s="26"/>
      <c r="AC299" s="26"/>
      <c r="AD299" s="26"/>
      <c r="AE299" s="26"/>
    </row>
    <row r="300" spans="4:31" x14ac:dyDescent="0.35">
      <c r="D300" s="27">
        <v>9.0305621385581986E-3</v>
      </c>
      <c r="X300" s="26"/>
      <c r="Y300" s="26"/>
      <c r="Z300" s="26"/>
      <c r="AA300" s="26"/>
      <c r="AB300" s="26"/>
      <c r="AC300" s="26"/>
      <c r="AD300" s="26"/>
      <c r="AE300" s="26"/>
    </row>
    <row r="301" spans="4:31" x14ac:dyDescent="0.35">
      <c r="X301" s="26"/>
      <c r="Y301" s="26"/>
      <c r="Z301" s="26"/>
      <c r="AA301" s="26"/>
      <c r="AB301" s="26"/>
      <c r="AC301" s="26"/>
      <c r="AD301" s="26"/>
      <c r="AE301" s="26"/>
    </row>
    <row r="302" spans="4:31" x14ac:dyDescent="0.35">
      <c r="E302">
        <v>1</v>
      </c>
      <c r="F302">
        <v>2</v>
      </c>
      <c r="G302">
        <v>3</v>
      </c>
      <c r="K302">
        <v>1</v>
      </c>
      <c r="L302">
        <v>2</v>
      </c>
      <c r="M302">
        <v>3</v>
      </c>
      <c r="X302" s="26"/>
      <c r="Y302" s="26"/>
      <c r="Z302" s="26"/>
      <c r="AA302" s="26"/>
      <c r="AB302" s="26"/>
      <c r="AC302" s="26"/>
      <c r="AD302" s="26"/>
      <c r="AE302" s="26"/>
    </row>
    <row r="303" spans="4:31" x14ac:dyDescent="0.35">
      <c r="D303" s="26">
        <v>1</v>
      </c>
      <c r="E303" s="16">
        <f>$F$2</f>
        <v>0.94640000000000002</v>
      </c>
      <c r="F303" s="16">
        <f>$G$2</f>
        <v>2.6100000000000002E-2</v>
      </c>
      <c r="G303" s="16">
        <f>$H$2</f>
        <v>2.75E-2</v>
      </c>
      <c r="K303" s="16">
        <f>D304*E303</f>
        <v>5.1791476894894463E-4</v>
      </c>
      <c r="L303" s="16">
        <f>D304*F303</f>
        <v>1.428315244037136E-5</v>
      </c>
      <c r="M303" s="16">
        <f>D304*G303</f>
        <v>1.5049298548283999E-5</v>
      </c>
      <c r="X303" s="26"/>
      <c r="Y303" s="26"/>
      <c r="Z303" s="26"/>
      <c r="AA303" s="26"/>
      <c r="AB303" s="26"/>
      <c r="AC303" s="26"/>
      <c r="AD303" s="26"/>
      <c r="AE303" s="26"/>
    </row>
    <row r="304" spans="4:31" x14ac:dyDescent="0.35">
      <c r="D304" s="27">
        <v>5.4724721993759998E-4</v>
      </c>
      <c r="X304" s="26"/>
      <c r="Y304" s="26"/>
      <c r="Z304" s="26"/>
      <c r="AA304" s="26"/>
      <c r="AB304" s="26"/>
      <c r="AC304" s="26"/>
      <c r="AD304" s="26"/>
      <c r="AE304" s="26"/>
    </row>
    <row r="305" spans="4:31" x14ac:dyDescent="0.35">
      <c r="X305" s="26"/>
      <c r="Y305" s="26"/>
      <c r="Z305" s="26"/>
      <c r="AA305" s="26"/>
      <c r="AB305" s="26"/>
      <c r="AC305" s="26"/>
      <c r="AD305" s="26"/>
      <c r="AE305" s="26"/>
    </row>
    <row r="306" spans="4:31" x14ac:dyDescent="0.35">
      <c r="E306">
        <v>1</v>
      </c>
      <c r="F306">
        <v>2</v>
      </c>
      <c r="G306">
        <v>3</v>
      </c>
      <c r="K306">
        <v>1</v>
      </c>
      <c r="L306">
        <v>2</v>
      </c>
      <c r="M306">
        <v>3</v>
      </c>
      <c r="X306" s="26"/>
      <c r="Y306" s="26"/>
      <c r="Z306" s="26"/>
      <c r="AA306" s="26"/>
      <c r="AB306" s="26"/>
      <c r="AC306" s="26"/>
      <c r="AD306" s="26"/>
      <c r="AE306" s="26"/>
    </row>
    <row r="307" spans="4:31" x14ac:dyDescent="0.35">
      <c r="D307" s="26">
        <v>2</v>
      </c>
      <c r="E307" s="16">
        <f>$I$2</f>
        <v>0.14080000000000001</v>
      </c>
      <c r="F307" s="16">
        <f>$J$2</f>
        <v>0.32979999999999998</v>
      </c>
      <c r="G307" s="16">
        <f>$K$2</f>
        <v>0.52939999999999998</v>
      </c>
      <c r="K307" s="16">
        <f>D308*E307</f>
        <v>2.1249660435379203E-6</v>
      </c>
      <c r="L307" s="16">
        <f>D308*F307</f>
        <v>4.9773707468665202E-6</v>
      </c>
      <c r="M307" s="16">
        <f>D308*G307</f>
        <v>7.9897515869955607E-6</v>
      </c>
      <c r="X307" s="26"/>
      <c r="Y307" s="26"/>
      <c r="Z307" s="26"/>
      <c r="AA307" s="26"/>
      <c r="AB307" s="26"/>
      <c r="AC307" s="26"/>
      <c r="AD307" s="26"/>
      <c r="AE307" s="26"/>
    </row>
    <row r="308" spans="4:31" x14ac:dyDescent="0.35">
      <c r="D308" s="27">
        <v>1.5092088377400002E-5</v>
      </c>
      <c r="X308" s="26"/>
      <c r="Y308" s="26"/>
      <c r="Z308" s="26"/>
      <c r="AA308" s="26"/>
      <c r="AB308" s="26"/>
      <c r="AC308" s="26"/>
      <c r="AD308" s="26"/>
      <c r="AE308" s="26"/>
    </row>
    <row r="309" spans="4:31" x14ac:dyDescent="0.35">
      <c r="X309" s="26"/>
      <c r="Y309" s="26"/>
      <c r="Z309" s="26"/>
      <c r="AA309" s="26"/>
      <c r="AB309" s="26"/>
      <c r="AC309" s="26"/>
      <c r="AD309" s="26"/>
      <c r="AE309" s="26"/>
    </row>
    <row r="310" spans="4:31" x14ac:dyDescent="0.35">
      <c r="E310">
        <v>1</v>
      </c>
      <c r="F310">
        <v>2</v>
      </c>
      <c r="G310">
        <v>3</v>
      </c>
      <c r="K310">
        <v>1</v>
      </c>
      <c r="L310">
        <v>2</v>
      </c>
      <c r="M310">
        <v>3</v>
      </c>
      <c r="X310" s="26"/>
      <c r="Y310" s="26"/>
      <c r="Z310" s="26"/>
      <c r="AA310" s="26"/>
      <c r="AB310" s="26"/>
      <c r="AC310" s="26"/>
      <c r="AD310" s="26"/>
      <c r="AE310" s="26"/>
    </row>
    <row r="311" spans="4:31" x14ac:dyDescent="0.35">
      <c r="D311" s="26">
        <v>3</v>
      </c>
      <c r="E311" s="16">
        <f>$L$2</f>
        <v>5.9999999999999995E-4</v>
      </c>
      <c r="F311" s="16">
        <f>$M$2</f>
        <v>1.77E-2</v>
      </c>
      <c r="G311" s="16">
        <f>$N$2</f>
        <v>0.98170000000000002</v>
      </c>
      <c r="K311" s="16">
        <f>D312*E311</f>
        <v>9.540975410999998E-9</v>
      </c>
      <c r="L311" s="16">
        <f>D312*F311</f>
        <v>2.8145877462450001E-7</v>
      </c>
      <c r="M311" s="16">
        <f>D312*G311</f>
        <v>1.5610625934964499E-5</v>
      </c>
      <c r="X311" s="26"/>
      <c r="Y311" s="26"/>
      <c r="Z311" s="26"/>
      <c r="AA311" s="26"/>
      <c r="AB311" s="26"/>
      <c r="AC311" s="26"/>
      <c r="AD311" s="26"/>
      <c r="AE311" s="26"/>
    </row>
    <row r="312" spans="4:31" x14ac:dyDescent="0.35">
      <c r="D312" s="27">
        <v>1.5901625684999999E-5</v>
      </c>
      <c r="X312" s="26"/>
      <c r="Y312" s="26"/>
      <c r="Z312" s="26"/>
      <c r="AA312" s="26"/>
      <c r="AB312" s="26"/>
      <c r="AC312" s="26"/>
      <c r="AD312" s="26"/>
      <c r="AE312" s="26"/>
    </row>
    <row r="313" spans="4:31" x14ac:dyDescent="0.35">
      <c r="X313" s="26"/>
      <c r="Y313" s="26"/>
      <c r="Z313" s="26"/>
      <c r="AA313" s="26"/>
      <c r="AB313" s="26"/>
      <c r="AC313" s="26"/>
      <c r="AD313" s="26"/>
      <c r="AE313" s="26"/>
    </row>
    <row r="314" spans="4:31" x14ac:dyDescent="0.35">
      <c r="E314">
        <v>1</v>
      </c>
      <c r="F314">
        <v>2</v>
      </c>
      <c r="G314">
        <v>3</v>
      </c>
      <c r="K314">
        <v>1</v>
      </c>
      <c r="L314">
        <v>2</v>
      </c>
      <c r="M314">
        <v>3</v>
      </c>
      <c r="X314" s="26"/>
      <c r="Y314" s="26"/>
      <c r="Z314" s="26"/>
      <c r="AA314" s="26"/>
      <c r="AB314" s="26"/>
      <c r="AC314" s="26"/>
      <c r="AD314" s="26"/>
      <c r="AE314" s="26"/>
    </row>
    <row r="315" spans="4:31" x14ac:dyDescent="0.35">
      <c r="D315" s="26">
        <v>1</v>
      </c>
      <c r="E315" s="16">
        <f>$F$2</f>
        <v>0.94640000000000002</v>
      </c>
      <c r="F315" s="16">
        <f>$G$2</f>
        <v>2.6100000000000002E-2</v>
      </c>
      <c r="G315" s="16">
        <f>$H$2</f>
        <v>2.75E-2</v>
      </c>
      <c r="K315" s="16">
        <f>D316*E315</f>
        <v>2.2730460527328154E-3</v>
      </c>
      <c r="L315" s="16">
        <f>D316*F315</f>
        <v>6.2686498284368644E-5</v>
      </c>
      <c r="M315" s="16">
        <f>D316*G315</f>
        <v>6.6048992445216003E-5</v>
      </c>
      <c r="X315" s="26"/>
      <c r="Y315" s="26"/>
      <c r="Z315" s="26"/>
      <c r="AA315" s="26"/>
      <c r="AB315" s="26"/>
      <c r="AC315" s="26"/>
      <c r="AD315" s="26"/>
      <c r="AE315" s="26"/>
    </row>
    <row r="316" spans="4:31" x14ac:dyDescent="0.35">
      <c r="D316" s="27">
        <v>2.4017815434624001E-3</v>
      </c>
      <c r="X316" s="26"/>
      <c r="Y316" s="26"/>
      <c r="Z316" s="26"/>
      <c r="AA316" s="26"/>
      <c r="AB316" s="26"/>
      <c r="AC316" s="26"/>
      <c r="AD316" s="26"/>
      <c r="AE316" s="26"/>
    </row>
    <row r="317" spans="4:31" x14ac:dyDescent="0.35">
      <c r="X317" s="26"/>
      <c r="Y317" s="26"/>
      <c r="Z317" s="26"/>
      <c r="AA317" s="26"/>
      <c r="AB317" s="26"/>
      <c r="AC317" s="26"/>
      <c r="AD317" s="26"/>
      <c r="AE317" s="26"/>
    </row>
    <row r="318" spans="4:31" x14ac:dyDescent="0.35">
      <c r="E318">
        <v>1</v>
      </c>
      <c r="F318">
        <v>2</v>
      </c>
      <c r="G318">
        <v>3</v>
      </c>
      <c r="K318">
        <v>1</v>
      </c>
      <c r="L318">
        <v>2</v>
      </c>
      <c r="M318">
        <v>3</v>
      </c>
      <c r="X318" s="26"/>
      <c r="Y318" s="26"/>
      <c r="Z318" s="26"/>
      <c r="AA318" s="26"/>
      <c r="AB318" s="26"/>
      <c r="AC318" s="26"/>
      <c r="AD318" s="26"/>
      <c r="AE318" s="26"/>
    </row>
    <row r="319" spans="4:31" x14ac:dyDescent="0.35">
      <c r="D319" s="26">
        <v>2</v>
      </c>
      <c r="E319" s="16">
        <f>$I$2</f>
        <v>0.14080000000000001</v>
      </c>
      <c r="F319" s="16">
        <f>$J$2</f>
        <v>0.32979999999999998</v>
      </c>
      <c r="G319" s="16">
        <f>$K$2</f>
        <v>0.52939999999999998</v>
      </c>
      <c r="K319" s="16">
        <f>D320*E319</f>
        <v>7.921075530338995E-4</v>
      </c>
      <c r="L319" s="16">
        <f>D320*F319</f>
        <v>1.8553769246490057E-3</v>
      </c>
      <c r="M319" s="16">
        <f>D320*G319</f>
        <v>2.9782793932964938E-3</v>
      </c>
      <c r="X319" s="26"/>
      <c r="Y319" s="26"/>
      <c r="Z319" s="26"/>
      <c r="AA319" s="26"/>
      <c r="AB319" s="26"/>
      <c r="AC319" s="26"/>
      <c r="AD319" s="26"/>
      <c r="AE319" s="26"/>
    </row>
    <row r="320" spans="4:31" x14ac:dyDescent="0.35">
      <c r="D320" s="27">
        <v>5.6257638709793995E-3</v>
      </c>
      <c r="X320" s="26"/>
      <c r="Y320" s="26"/>
      <c r="Z320" s="26"/>
      <c r="AA320" s="26"/>
      <c r="AB320" s="26"/>
      <c r="AC320" s="26"/>
      <c r="AD320" s="26"/>
      <c r="AE320" s="26"/>
    </row>
    <row r="321" spans="4:31" x14ac:dyDescent="0.35">
      <c r="X321" s="26"/>
      <c r="Y321" s="26"/>
      <c r="Z321" s="26"/>
      <c r="AA321" s="26"/>
      <c r="AB321" s="26"/>
      <c r="AC321" s="26"/>
      <c r="AD321" s="26"/>
      <c r="AE321" s="26"/>
    </row>
    <row r="322" spans="4:31" x14ac:dyDescent="0.35">
      <c r="E322">
        <v>1</v>
      </c>
      <c r="F322">
        <v>2</v>
      </c>
      <c r="G322">
        <v>3</v>
      </c>
      <c r="K322">
        <v>1</v>
      </c>
      <c r="L322">
        <v>2</v>
      </c>
      <c r="M322">
        <v>3</v>
      </c>
      <c r="X322" s="26"/>
      <c r="Y322" s="26"/>
      <c r="Z322" s="26"/>
      <c r="AA322" s="26"/>
      <c r="AB322" s="26"/>
      <c r="AC322" s="26"/>
      <c r="AD322" s="26"/>
      <c r="AE322" s="26"/>
    </row>
    <row r="323" spans="4:31" x14ac:dyDescent="0.35">
      <c r="D323" s="26">
        <v>3</v>
      </c>
      <c r="E323" s="16">
        <f>$L$2</f>
        <v>5.9999999999999995E-4</v>
      </c>
      <c r="F323" s="16">
        <f>$M$2</f>
        <v>1.77E-2</v>
      </c>
      <c r="G323" s="16">
        <f>$N$2</f>
        <v>0.98170000000000002</v>
      </c>
      <c r="K323" s="16">
        <f>D324*E323</f>
        <v>5.4183372831349189E-6</v>
      </c>
      <c r="L323" s="16">
        <f>D324*F323</f>
        <v>1.5984094985248013E-4</v>
      </c>
      <c r="M323" s="16">
        <f>D324*G323</f>
        <v>8.8653028514225837E-3</v>
      </c>
      <c r="X323" s="26"/>
      <c r="Y323" s="26"/>
      <c r="Z323" s="26"/>
      <c r="AA323" s="26"/>
      <c r="AB323" s="26"/>
      <c r="AC323" s="26"/>
      <c r="AD323" s="26"/>
      <c r="AE323" s="26"/>
    </row>
    <row r="324" spans="4:31" x14ac:dyDescent="0.35">
      <c r="D324" s="27">
        <v>9.0305621385581986E-3</v>
      </c>
      <c r="X324" s="26"/>
      <c r="Y324" s="26"/>
      <c r="Z324" s="26"/>
      <c r="AA324" s="26"/>
      <c r="AB324" s="26"/>
      <c r="AC324" s="26"/>
      <c r="AD324" s="26"/>
      <c r="AE324" s="26"/>
    </row>
    <row r="325" spans="4:31" x14ac:dyDescent="0.35">
      <c r="X325" s="26"/>
      <c r="Y325" s="26"/>
      <c r="Z325" s="26"/>
      <c r="AA325" s="26"/>
      <c r="AB325" s="26"/>
      <c r="AC325" s="26"/>
      <c r="AD325" s="26"/>
      <c r="AE325" s="26"/>
    </row>
    <row r="326" spans="4:31" x14ac:dyDescent="0.35">
      <c r="E326">
        <v>1</v>
      </c>
      <c r="F326">
        <v>2</v>
      </c>
      <c r="G326">
        <v>3</v>
      </c>
      <c r="K326">
        <v>1</v>
      </c>
      <c r="L326">
        <v>2</v>
      </c>
      <c r="M326">
        <v>3</v>
      </c>
      <c r="X326" s="26"/>
      <c r="Y326" s="26"/>
      <c r="Z326" s="26"/>
      <c r="AA326" s="26"/>
      <c r="AB326" s="26"/>
      <c r="AC326" s="26"/>
      <c r="AD326" s="26"/>
      <c r="AE326" s="26"/>
    </row>
    <row r="327" spans="4:31" x14ac:dyDescent="0.35">
      <c r="D327" s="26">
        <v>1</v>
      </c>
      <c r="E327" s="16">
        <f>$F$2</f>
        <v>0.94640000000000002</v>
      </c>
      <c r="F327" s="16">
        <f>$G$2</f>
        <v>2.6100000000000002E-2</v>
      </c>
      <c r="G327" s="16">
        <f>$H$2</f>
        <v>2.75E-2</v>
      </c>
      <c r="K327" s="16">
        <f>D328*E327</f>
        <v>5.3723259581274182E-4</v>
      </c>
      <c r="L327" s="16">
        <f>D328*F327</f>
        <v>1.4815903160093579E-5</v>
      </c>
      <c r="M327" s="16">
        <f>D328*G327</f>
        <v>1.5610625934964499E-5</v>
      </c>
      <c r="X327" s="26"/>
      <c r="Y327" s="26"/>
      <c r="Z327" s="26"/>
      <c r="AA327" s="26"/>
      <c r="AB327" s="26"/>
      <c r="AC327" s="26"/>
      <c r="AD327" s="26"/>
      <c r="AE327" s="26"/>
    </row>
    <row r="328" spans="4:31" x14ac:dyDescent="0.35">
      <c r="D328" s="27">
        <v>5.676591249077999E-4</v>
      </c>
      <c r="X328" s="26"/>
      <c r="Y328" s="26"/>
      <c r="Z328" s="26"/>
      <c r="AA328" s="26"/>
      <c r="AB328" s="26"/>
      <c r="AC328" s="26"/>
      <c r="AD328" s="26"/>
      <c r="AE328" s="26"/>
    </row>
    <row r="329" spans="4:31" x14ac:dyDescent="0.35">
      <c r="X329" s="26"/>
      <c r="Y329" s="26"/>
      <c r="Z329" s="26"/>
      <c r="AA329" s="26"/>
      <c r="AB329" s="26"/>
      <c r="AC329" s="26"/>
      <c r="AD329" s="26"/>
      <c r="AE329" s="26"/>
    </row>
    <row r="330" spans="4:31" x14ac:dyDescent="0.35">
      <c r="E330">
        <v>1</v>
      </c>
      <c r="F330">
        <v>2</v>
      </c>
      <c r="G330">
        <v>3</v>
      </c>
      <c r="K330">
        <v>1</v>
      </c>
      <c r="L330">
        <v>2</v>
      </c>
      <c r="M330">
        <v>3</v>
      </c>
      <c r="X330" s="26"/>
      <c r="Y330" s="26"/>
      <c r="Z330" s="26"/>
      <c r="AA330" s="26"/>
      <c r="AB330" s="26"/>
      <c r="AC330" s="26"/>
      <c r="AD330" s="26"/>
      <c r="AE330" s="26"/>
    </row>
    <row r="331" spans="4:31" x14ac:dyDescent="0.35">
      <c r="D331" s="26">
        <v>2</v>
      </c>
      <c r="E331" s="16">
        <f>$I$2</f>
        <v>0.14080000000000001</v>
      </c>
      <c r="F331" s="16">
        <f>$J$2</f>
        <v>0.32979999999999998</v>
      </c>
      <c r="G331" s="16">
        <f>$K$2</f>
        <v>0.52939999999999998</v>
      </c>
      <c r="K331" s="16">
        <f>D332*E331</f>
        <v>2.3578289412170381E-3</v>
      </c>
      <c r="L331" s="16">
        <f>D332*F331</f>
        <v>5.5228123921404765E-3</v>
      </c>
      <c r="M331" s="16">
        <f>D332*G331</f>
        <v>8.8653028514225837E-3</v>
      </c>
      <c r="X331" s="26"/>
      <c r="Y331" s="26"/>
      <c r="Z331" s="26"/>
      <c r="AA331" s="26"/>
      <c r="AB331" s="26"/>
      <c r="AC331" s="26"/>
      <c r="AD331" s="26"/>
      <c r="AE331" s="26"/>
    </row>
    <row r="332" spans="4:31" x14ac:dyDescent="0.35">
      <c r="D332" s="27">
        <v>1.67459441847801E-2</v>
      </c>
      <c r="X332" s="26"/>
      <c r="Y332" s="26"/>
      <c r="Z332" s="26"/>
      <c r="AA332" s="26"/>
      <c r="AB332" s="26"/>
      <c r="AC332" s="26"/>
      <c r="AD332" s="26"/>
      <c r="AE332" s="26"/>
    </row>
    <row r="333" spans="4:31" x14ac:dyDescent="0.35">
      <c r="X333" s="26"/>
      <c r="Y333" s="26"/>
      <c r="Z333" s="26"/>
      <c r="AA333" s="26"/>
      <c r="AB333" s="26"/>
      <c r="AC333" s="26"/>
      <c r="AD333" s="26"/>
      <c r="AE333" s="26"/>
    </row>
    <row r="334" spans="4:31" x14ac:dyDescent="0.35">
      <c r="E334">
        <v>1</v>
      </c>
      <c r="F334">
        <v>2</v>
      </c>
      <c r="G334">
        <v>3</v>
      </c>
      <c r="K334">
        <v>1</v>
      </c>
      <c r="L334">
        <v>2</v>
      </c>
      <c r="M334">
        <v>3</v>
      </c>
      <c r="X334" s="26"/>
      <c r="Y334" s="26"/>
      <c r="Z334" s="26"/>
      <c r="AA334" s="26"/>
      <c r="AB334" s="26"/>
      <c r="AC334" s="26"/>
      <c r="AD334" s="26"/>
      <c r="AE334" s="26"/>
    </row>
    <row r="335" spans="4:31" x14ac:dyDescent="0.35">
      <c r="D335" s="26">
        <v>3</v>
      </c>
      <c r="E335" s="16">
        <f>$L$2</f>
        <v>5.9999999999999995E-4</v>
      </c>
      <c r="F335" s="16">
        <f>$M$2</f>
        <v>1.77E-2</v>
      </c>
      <c r="G335" s="16">
        <f>$N$2</f>
        <v>0.98170000000000002</v>
      </c>
      <c r="K335" s="16">
        <f>D336*E335</f>
        <v>5.5727096292198716E-4</v>
      </c>
      <c r="L335" s="16">
        <f>D336*F335</f>
        <v>1.6439493406198623E-2</v>
      </c>
      <c r="M335" s="16">
        <f>D336*G335</f>
        <v>0.91178817383419153</v>
      </c>
    </row>
    <row r="336" spans="4:31" x14ac:dyDescent="0.35">
      <c r="D336" s="27">
        <v>0.92878493820331209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075D-D7A9-4589-98E9-1E4449ED7C81}">
  <dimension ref="F1:O38"/>
  <sheetViews>
    <sheetView workbookViewId="0">
      <selection activeCell="J43" sqref="J43"/>
    </sheetView>
  </sheetViews>
  <sheetFormatPr defaultRowHeight="14.5" x14ac:dyDescent="0.35"/>
  <cols>
    <col min="6" max="6" width="13.26953125" bestFit="1" customWidth="1"/>
  </cols>
  <sheetData>
    <row r="1" spans="6:15" ht="15" thickBot="1" x14ac:dyDescent="0.4">
      <c r="F1" s="3" t="s">
        <v>3</v>
      </c>
      <c r="G1" s="4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7" t="s">
        <v>11</v>
      </c>
      <c r="O1" s="8" t="s">
        <v>12</v>
      </c>
    </row>
    <row r="2" spans="6:15" x14ac:dyDescent="0.35">
      <c r="F2" s="1" t="s">
        <v>0</v>
      </c>
      <c r="G2" s="10">
        <v>0.94640000000000002</v>
      </c>
      <c r="H2" s="11">
        <v>2.6100000000000002E-2</v>
      </c>
      <c r="I2" s="11">
        <v>2.75E-2</v>
      </c>
      <c r="J2" s="12">
        <v>0.14080000000000001</v>
      </c>
      <c r="K2" s="12">
        <v>0.32979999999999998</v>
      </c>
      <c r="L2" s="12">
        <v>0.52939999999999998</v>
      </c>
      <c r="M2" s="13">
        <v>5.9999999999999995E-4</v>
      </c>
      <c r="N2" s="13">
        <v>1.77E-2</v>
      </c>
      <c r="O2" s="14">
        <v>0.98170000000000002</v>
      </c>
    </row>
    <row r="7" spans="6:15" x14ac:dyDescent="0.35">
      <c r="G7">
        <v>1</v>
      </c>
      <c r="H7">
        <v>2</v>
      </c>
      <c r="I7">
        <v>3</v>
      </c>
      <c r="K7">
        <v>0</v>
      </c>
    </row>
    <row r="8" spans="6:15" x14ac:dyDescent="0.35">
      <c r="F8">
        <v>1</v>
      </c>
      <c r="G8" s="16">
        <f>G2</f>
        <v>0.94640000000000002</v>
      </c>
      <c r="H8" s="16">
        <f>H2</f>
        <v>2.6100000000000002E-2</v>
      </c>
      <c r="I8" s="16">
        <f>I2</f>
        <v>2.75E-2</v>
      </c>
    </row>
    <row r="9" spans="6:15" x14ac:dyDescent="0.35">
      <c r="F9">
        <v>2</v>
      </c>
      <c r="G9" s="16">
        <f>J2</f>
        <v>0.14080000000000001</v>
      </c>
      <c r="H9" s="16">
        <f>K2</f>
        <v>0.32979999999999998</v>
      </c>
      <c r="I9" s="16">
        <f>L2</f>
        <v>0.52939999999999998</v>
      </c>
    </row>
    <row r="10" spans="6:15" x14ac:dyDescent="0.35">
      <c r="F10">
        <v>3</v>
      </c>
      <c r="G10" s="16">
        <f>M2</f>
        <v>5.9999999999999995E-4</v>
      </c>
      <c r="H10" s="16">
        <f>N2</f>
        <v>1.77E-2</v>
      </c>
      <c r="I10" s="16">
        <f>O2</f>
        <v>0.98170000000000002</v>
      </c>
    </row>
    <row r="14" spans="6:15" x14ac:dyDescent="0.35">
      <c r="G14">
        <v>1</v>
      </c>
      <c r="H14">
        <v>2</v>
      </c>
      <c r="I14">
        <v>3</v>
      </c>
      <c r="K14">
        <v>1</v>
      </c>
    </row>
    <row r="15" spans="6:15" x14ac:dyDescent="0.35">
      <c r="F15">
        <v>1</v>
      </c>
      <c r="G15" s="16" cm="1">
        <f t="array" ref="G15:I17">MMULT(G8:I10,$G$8:$I$10)</f>
        <v>0.8993643400000001</v>
      </c>
      <c r="H15" s="16">
        <v>3.3795570000000004E-2</v>
      </c>
      <c r="I15" s="16">
        <v>6.6840090000000005E-2</v>
      </c>
    </row>
    <row r="16" spans="6:15" x14ac:dyDescent="0.35">
      <c r="F16">
        <v>2</v>
      </c>
      <c r="G16" s="16">
        <v>0.18000660000000002</v>
      </c>
      <c r="H16" s="16">
        <v>0.12181329999999999</v>
      </c>
      <c r="I16" s="16">
        <v>0.69818009999999997</v>
      </c>
    </row>
    <row r="17" spans="6:11" x14ac:dyDescent="0.35">
      <c r="F17">
        <v>3</v>
      </c>
      <c r="G17" s="16">
        <v>3.6490200000000002E-3</v>
      </c>
      <c r="H17" s="16">
        <v>2.322921E-2</v>
      </c>
      <c r="I17" s="16">
        <v>0.97312177</v>
      </c>
    </row>
    <row r="21" spans="6:11" x14ac:dyDescent="0.35">
      <c r="G21">
        <v>1</v>
      </c>
      <c r="H21">
        <v>2</v>
      </c>
      <c r="I21">
        <v>3</v>
      </c>
      <c r="K21">
        <v>2</v>
      </c>
    </row>
    <row r="22" spans="6:11" x14ac:dyDescent="0.35">
      <c r="F22">
        <v>1</v>
      </c>
      <c r="G22" s="16" cm="1">
        <f t="array" ref="G22:I24">MMULT(_xlfn.ANCHORARRAY(G15),$G$8:$I$10)</f>
        <v>0.85595693168600018</v>
      </c>
      <c r="H22" s="16">
        <v>3.5802257853000001E-2</v>
      </c>
      <c r="I22" s="16">
        <v>0.10824081046100001</v>
      </c>
    </row>
    <row r="23" spans="6:11" x14ac:dyDescent="0.35">
      <c r="F23">
        <v>2</v>
      </c>
      <c r="G23" s="16">
        <v>0.18792846694000001</v>
      </c>
      <c r="H23" s="16">
        <v>5.7229986369999999E-2</v>
      </c>
      <c r="I23" s="16">
        <v>0.75484154669000003</v>
      </c>
    </row>
    <row r="24" spans="6:11" x14ac:dyDescent="0.35">
      <c r="F24">
        <v>3</v>
      </c>
      <c r="G24" s="16">
        <v>7.307978358E-3</v>
      </c>
      <c r="H24" s="16">
        <v>2.4980488209E-2</v>
      </c>
      <c r="I24" s="16">
        <v>0.96771153343299998</v>
      </c>
    </row>
    <row r="28" spans="6:11" x14ac:dyDescent="0.35">
      <c r="G28">
        <v>1</v>
      </c>
      <c r="H28">
        <v>2</v>
      </c>
      <c r="I28">
        <v>3</v>
      </c>
      <c r="K28">
        <v>3</v>
      </c>
    </row>
    <row r="29" spans="6:11" x14ac:dyDescent="0.35">
      <c r="F29">
        <v>1</v>
      </c>
      <c r="G29" s="16" cm="1">
        <f t="array" ref="G29:I31">MMULT(_xlfn.ANCHORARRAY(G22),$G$8:$I$10)</f>
        <v>0.81518354253960956</v>
      </c>
      <c r="H29" s="16">
        <v>3.6063922902083712E-2</v>
      </c>
      <c r="I29" s="16">
        <v>0.14875253455830692</v>
      </c>
    </row>
    <row r="30" spans="6:11" x14ac:dyDescent="0.35">
      <c r="F30">
        <v>2</v>
      </c>
      <c r="G30" s="16">
        <v>0.18636638812092601</v>
      </c>
      <c r="H30" s="16">
        <v>3.7140077868372999E-2</v>
      </c>
      <c r="I30" s="16">
        <v>0.77649353401070098</v>
      </c>
    </row>
    <row r="31" spans="6:11" x14ac:dyDescent="0.35">
      <c r="F31">
        <v>3</v>
      </c>
      <c r="G31" s="16">
        <v>1.1014150377898201E-2</v>
      </c>
      <c r="H31" s="16">
        <v>2.5557797388236103E-2</v>
      </c>
      <c r="I31" s="16">
        <v>0.96342805223386574</v>
      </c>
    </row>
    <row r="35" spans="6:11" x14ac:dyDescent="0.35">
      <c r="G35">
        <v>1</v>
      </c>
      <c r="H35">
        <v>2</v>
      </c>
      <c r="I35">
        <v>3</v>
      </c>
      <c r="K35">
        <v>4</v>
      </c>
    </row>
    <row r="36" spans="6:11" x14ac:dyDescent="0.35">
      <c r="F36">
        <v>1</v>
      </c>
      <c r="G36" s="16" cm="1">
        <f t="array" ref="G36:I38">MMULT(_xlfn.ANCHORARRAY(G29),$G$8:$I$10)</f>
        <v>0.7766567565248349</v>
      </c>
      <c r="H36" s="16">
        <v>3.5803092095073055E-2</v>
      </c>
      <c r="I36" s="16">
        <v>0.18754015138009228</v>
      </c>
    </row>
    <row r="37" spans="6:11" x14ac:dyDescent="0.35">
      <c r="F37">
        <v>2</v>
      </c>
      <c r="G37" s="16">
        <v>0.18207236880191771</v>
      </c>
      <c r="H37" s="16">
        <v>3.0856895962934991E-2</v>
      </c>
      <c r="I37" s="16">
        <v>0.78707073523514726</v>
      </c>
    </row>
    <row r="38" spans="6:11" x14ac:dyDescent="0.35">
      <c r="F38">
        <v>3</v>
      </c>
      <c r="G38" s="16">
        <v>1.4600386621246821E-2</v>
      </c>
      <c r="H38" s="16">
        <v>2.5769107428042837E-2</v>
      </c>
      <c r="I38" s="16">
        <v>0.95963050595071042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1корзина(1кв)</vt:lpstr>
      <vt:lpstr>1корзина(2кв)</vt:lpstr>
      <vt:lpstr>1корзина(3кв)</vt:lpstr>
      <vt:lpstr>1корзина(4кв)</vt:lpstr>
      <vt:lpstr>2корзина(1кв)</vt:lpstr>
      <vt:lpstr>2корзина(2кв)</vt:lpstr>
      <vt:lpstr>2корзина(3кв)</vt:lpstr>
      <vt:lpstr>2корзина(4кв)</vt:lpstr>
      <vt:lpstr>3корзина(1кв)</vt:lpstr>
      <vt:lpstr>3корзина(2кв)</vt:lpstr>
      <vt:lpstr>3корзина(3кв)</vt:lpstr>
      <vt:lpstr>3корзина(4кв)</vt:lpstr>
      <vt:lpstr>Матрица Марковица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Vozhak</dc:creator>
  <cp:lastModifiedBy>Vozhak</cp:lastModifiedBy>
  <dcterms:created xsi:type="dcterms:W3CDTF">2015-06-05T18:19:34Z</dcterms:created>
  <dcterms:modified xsi:type="dcterms:W3CDTF">2024-09-19T14:38:06Z</dcterms:modified>
</cp:coreProperties>
</file>