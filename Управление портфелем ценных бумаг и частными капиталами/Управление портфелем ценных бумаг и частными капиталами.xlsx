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КБТУ 1 семестр\Lecture 4\"/>
    </mc:Choice>
  </mc:AlternateContent>
  <xr:revisionPtr revIDLastSave="0" documentId="13_ncr:1_{921F0565-ADC5-4A65-B8C9-B7AE0A0C1DB5}" xr6:coauthVersionLast="47" xr6:coauthVersionMax="47" xr10:uidLastSave="{00000000-0000-0000-0000-000000000000}"/>
  <bookViews>
    <workbookView xWindow="-108" yWindow="-108" windowWidth="23256" windowHeight="12456" firstSheet="7" activeTab="7" xr2:uid="{00000000-000D-0000-FFFF-FFFF00000000}"/>
  </bookViews>
  <sheets>
    <sheet name="KSPI IL (1)" sheetId="2" state="hidden" r:id="rId1"/>
    <sheet name="HSBK IL" sheetId="3" state="hidden" r:id="rId2"/>
    <sheet name="BTC-USD" sheetId="4" state="hidden" r:id="rId3"/>
    <sheet name="^SPX" sheetId="5" state="hidden" r:id="rId4"/>
    <sheet name="portfolio" sheetId="1" r:id="rId5"/>
    <sheet name="regression" sheetId="6" r:id="rId6"/>
    <sheet name="opt H and SPX" sheetId="7" r:id="rId7"/>
    <sheet name="opt H and K" sheetId="8" r:id="rId8"/>
  </sheets>
  <definedNames>
    <definedName name="ExternalData_1" localSheetId="3" hidden="1">'^SPX'!$A$1:$G$14</definedName>
    <definedName name="ExternalData_1" localSheetId="2" hidden="1">'BTC-USD'!$A$1:$G$13</definedName>
    <definedName name="ExternalData_1" localSheetId="1" hidden="1">'HSBK IL'!$A$1:$G$14</definedName>
    <definedName name="ExternalData_1" localSheetId="0" hidden="1">'KSPI IL (1)'!$A$1:$G$14</definedName>
    <definedName name="solver_adj" localSheetId="7" hidden="1">'opt H and K'!$X$7</definedName>
    <definedName name="solver_adj" localSheetId="6" hidden="1">'opt H and SPX'!$Q$2</definedName>
    <definedName name="solver_cvg" localSheetId="7" hidden="1">0.0001</definedName>
    <definedName name="solver_cvg" localSheetId="6" hidden="1">0.0001</definedName>
    <definedName name="solver_drv" localSheetId="7" hidden="1">1</definedName>
    <definedName name="solver_drv" localSheetId="6" hidden="1">1</definedName>
    <definedName name="solver_eng" localSheetId="7" hidden="1">1</definedName>
    <definedName name="solver_eng" localSheetId="6" hidden="1">1</definedName>
    <definedName name="solver_est" localSheetId="7" hidden="1">1</definedName>
    <definedName name="solver_est" localSheetId="6" hidden="1">1</definedName>
    <definedName name="solver_itr" localSheetId="7" hidden="1">2147483647</definedName>
    <definedName name="solver_itr" localSheetId="6" hidden="1">2147483647</definedName>
    <definedName name="solver_mip" localSheetId="7" hidden="1">2147483647</definedName>
    <definedName name="solver_mip" localSheetId="6" hidden="1">2147483647</definedName>
    <definedName name="solver_mni" localSheetId="7" hidden="1">30</definedName>
    <definedName name="solver_mni" localSheetId="6" hidden="1">30</definedName>
    <definedName name="solver_mrt" localSheetId="7" hidden="1">0.075</definedName>
    <definedName name="solver_mrt" localSheetId="6" hidden="1">0.075</definedName>
    <definedName name="solver_msl" localSheetId="7" hidden="1">2</definedName>
    <definedName name="solver_msl" localSheetId="6" hidden="1">2</definedName>
    <definedName name="solver_neg" localSheetId="7" hidden="1">1</definedName>
    <definedName name="solver_neg" localSheetId="6" hidden="1">1</definedName>
    <definedName name="solver_nod" localSheetId="7" hidden="1">2147483647</definedName>
    <definedName name="solver_nod" localSheetId="6" hidden="1">2147483647</definedName>
    <definedName name="solver_num" localSheetId="7" hidden="1">0</definedName>
    <definedName name="solver_num" localSheetId="6" hidden="1">0</definedName>
    <definedName name="solver_nwt" localSheetId="7" hidden="1">1</definedName>
    <definedName name="solver_nwt" localSheetId="6" hidden="1">1</definedName>
    <definedName name="solver_opt" localSheetId="7" hidden="1">'opt H and K'!$Y$11</definedName>
    <definedName name="solver_opt" localSheetId="6" hidden="1">'opt H and SPX'!$Q$2</definedName>
    <definedName name="solver_pre" localSheetId="7" hidden="1">0.000001</definedName>
    <definedName name="solver_pre" localSheetId="6" hidden="1">0.000001</definedName>
    <definedName name="solver_rbv" localSheetId="7" hidden="1">1</definedName>
    <definedName name="solver_rbv" localSheetId="6" hidden="1">1</definedName>
    <definedName name="solver_rlx" localSheetId="7" hidden="1">2</definedName>
    <definedName name="solver_rlx" localSheetId="6" hidden="1">2</definedName>
    <definedName name="solver_rsd" localSheetId="7" hidden="1">0</definedName>
    <definedName name="solver_rsd" localSheetId="6" hidden="1">0</definedName>
    <definedName name="solver_scl" localSheetId="7" hidden="1">1</definedName>
    <definedName name="solver_scl" localSheetId="6" hidden="1">1</definedName>
    <definedName name="solver_sho" localSheetId="7" hidden="1">2</definedName>
    <definedName name="solver_sho" localSheetId="6" hidden="1">2</definedName>
    <definedName name="solver_ssz" localSheetId="7" hidden="1">100</definedName>
    <definedName name="solver_ssz" localSheetId="6" hidden="1">100</definedName>
    <definedName name="solver_tim" localSheetId="7" hidden="1">2147483647</definedName>
    <definedName name="solver_tim" localSheetId="6" hidden="1">2147483647</definedName>
    <definedName name="solver_tol" localSheetId="7" hidden="1">0.01</definedName>
    <definedName name="solver_tol" localSheetId="6" hidden="1">0.01</definedName>
    <definedName name="solver_typ" localSheetId="7" hidden="1">1</definedName>
    <definedName name="solver_typ" localSheetId="6" hidden="1">2</definedName>
    <definedName name="solver_val" localSheetId="7" hidden="1">0</definedName>
    <definedName name="solver_val" localSheetId="6" hidden="1">0</definedName>
    <definedName name="solver_ver" localSheetId="7" hidden="1">3</definedName>
    <definedName name="solver_ver" localSheetId="6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2" i="8" l="1"/>
  <c r="S23" i="8"/>
  <c r="T23" i="8"/>
  <c r="U23" i="8"/>
  <c r="V23" i="8"/>
  <c r="AC16" i="8"/>
  <c r="C18" i="8"/>
  <c r="AC15" i="8"/>
  <c r="AC12" i="8"/>
  <c r="Y10" i="8"/>
  <c r="Y7" i="8"/>
  <c r="AE8" i="8"/>
  <c r="AD8" i="8"/>
  <c r="Y2" i="8"/>
  <c r="S4" i="8"/>
  <c r="S5" i="8" s="1"/>
  <c r="T3" i="8"/>
  <c r="F14" i="8"/>
  <c r="D14" i="8"/>
  <c r="F13" i="8"/>
  <c r="D13" i="8"/>
  <c r="F12" i="8"/>
  <c r="D12" i="8"/>
  <c r="F11" i="8"/>
  <c r="D11" i="8"/>
  <c r="F10" i="8"/>
  <c r="D10" i="8"/>
  <c r="F9" i="8"/>
  <c r="D9" i="8"/>
  <c r="F8" i="8"/>
  <c r="D8" i="8"/>
  <c r="F7" i="8"/>
  <c r="D7" i="8"/>
  <c r="F6" i="8"/>
  <c r="D6" i="8"/>
  <c r="F5" i="8"/>
  <c r="D5" i="8"/>
  <c r="F4" i="8"/>
  <c r="D4" i="8"/>
  <c r="C17" i="8" s="1"/>
  <c r="R2" i="7"/>
  <c r="K3" i="7"/>
  <c r="K4" i="7" s="1"/>
  <c r="K5" i="7" s="1"/>
  <c r="K6" i="7" s="1"/>
  <c r="L2" i="7"/>
  <c r="H3" i="7"/>
  <c r="H2" i="7"/>
  <c r="E13" i="7"/>
  <c r="E12" i="7"/>
  <c r="E11" i="7"/>
  <c r="E10" i="7"/>
  <c r="E9" i="7"/>
  <c r="E8" i="7"/>
  <c r="E7" i="7"/>
  <c r="E6" i="7"/>
  <c r="E5" i="7"/>
  <c r="E4" i="7"/>
  <c r="E3" i="7"/>
  <c r="K13" i="8" l="1"/>
  <c r="K8" i="8"/>
  <c r="K10" i="8"/>
  <c r="K11" i="8"/>
  <c r="I2" i="7"/>
  <c r="N2" i="7" s="1"/>
  <c r="F16" i="8"/>
  <c r="M5" i="8"/>
  <c r="N5" i="8" s="1"/>
  <c r="D16" i="8"/>
  <c r="H4" i="8"/>
  <c r="H3" i="8"/>
  <c r="I2" i="8"/>
  <c r="H2" i="8"/>
  <c r="I3" i="8"/>
  <c r="S6" i="8"/>
  <c r="T5" i="8"/>
  <c r="T4" i="8"/>
  <c r="I3" i="7"/>
  <c r="S2" i="7" s="1"/>
  <c r="H4" i="7"/>
  <c r="M2" i="7"/>
  <c r="L6" i="7"/>
  <c r="K7" i="7"/>
  <c r="N3" i="7"/>
  <c r="L5" i="7"/>
  <c r="L4" i="7"/>
  <c r="L3" i="7"/>
  <c r="K29" i="6"/>
  <c r="K30" i="6"/>
  <c r="K31" i="6"/>
  <c r="K32" i="6"/>
  <c r="K33" i="6"/>
  <c r="K34" i="6"/>
  <c r="K35" i="6"/>
  <c r="K36" i="6"/>
  <c r="K37" i="6"/>
  <c r="K27" i="6"/>
  <c r="N14" i="6"/>
  <c r="M15" i="6"/>
  <c r="M14" i="6"/>
  <c r="J28" i="6"/>
  <c r="K28" i="6" s="1"/>
  <c r="J29" i="6"/>
  <c r="J30" i="6"/>
  <c r="J31" i="6"/>
  <c r="J32" i="6"/>
  <c r="J33" i="6"/>
  <c r="J34" i="6"/>
  <c r="J35" i="6"/>
  <c r="J36" i="6"/>
  <c r="J37" i="6"/>
  <c r="J27" i="6"/>
  <c r="L5" i="1"/>
  <c r="L11" i="8" l="1"/>
  <c r="L8" i="8"/>
  <c r="M6" i="8"/>
  <c r="N6" i="8" s="1"/>
  <c r="M13" i="8"/>
  <c r="N13" i="8" s="1"/>
  <c r="M14" i="8"/>
  <c r="N14" i="8" s="1"/>
  <c r="T2" i="7"/>
  <c r="M10" i="8"/>
  <c r="N10" i="8" s="1"/>
  <c r="M7" i="8"/>
  <c r="N7" i="8" s="1"/>
  <c r="M8" i="8"/>
  <c r="N8" i="8" s="1"/>
  <c r="L13" i="8"/>
  <c r="P13" i="8"/>
  <c r="M11" i="8"/>
  <c r="N11" i="8" s="1"/>
  <c r="U6" i="8"/>
  <c r="M12" i="8"/>
  <c r="N12" i="8" s="1"/>
  <c r="L10" i="8"/>
  <c r="N4" i="7"/>
  <c r="M4" i="8"/>
  <c r="N4" i="8" s="1"/>
  <c r="N6" i="7"/>
  <c r="M9" i="8"/>
  <c r="N9" i="8" s="1"/>
  <c r="M5" i="7"/>
  <c r="K12" i="8"/>
  <c r="K14" i="8"/>
  <c r="K4" i="8"/>
  <c r="K5" i="8"/>
  <c r="K7" i="8"/>
  <c r="K6" i="8"/>
  <c r="K9" i="8"/>
  <c r="AA2" i="8"/>
  <c r="Z7" i="8"/>
  <c r="U4" i="8"/>
  <c r="U5" i="8"/>
  <c r="Z2" i="8"/>
  <c r="V3" i="8"/>
  <c r="V5" i="8"/>
  <c r="V4" i="8"/>
  <c r="AA7" i="8"/>
  <c r="U3" i="8"/>
  <c r="S7" i="8"/>
  <c r="T6" i="8"/>
  <c r="V6" i="8" s="1"/>
  <c r="M4" i="7"/>
  <c r="M3" i="7"/>
  <c r="M6" i="7"/>
  <c r="N5" i="7"/>
  <c r="K8" i="7"/>
  <c r="L7" i="7"/>
  <c r="M7" i="7" s="1"/>
  <c r="J13" i="1"/>
  <c r="J12" i="1"/>
  <c r="J11" i="1"/>
  <c r="J10" i="1"/>
  <c r="J9" i="1"/>
  <c r="J8" i="1"/>
  <c r="J7" i="1"/>
  <c r="J6" i="1"/>
  <c r="J15" i="1" s="1"/>
  <c r="J5" i="1"/>
  <c r="J4" i="1"/>
  <c r="J3" i="1"/>
  <c r="J16" i="1" s="1"/>
  <c r="H13" i="1"/>
  <c r="H12" i="1"/>
  <c r="H11" i="1"/>
  <c r="H10" i="1"/>
  <c r="H9" i="1"/>
  <c r="H8" i="1"/>
  <c r="H7" i="1"/>
  <c r="H6" i="1"/>
  <c r="H5" i="1"/>
  <c r="H4" i="1"/>
  <c r="H3" i="1"/>
  <c r="D20" i="1" s="1"/>
  <c r="F13" i="1"/>
  <c r="F12" i="1"/>
  <c r="F17" i="1" s="1"/>
  <c r="F11" i="1"/>
  <c r="F10" i="1"/>
  <c r="F9" i="1"/>
  <c r="F8" i="1"/>
  <c r="F7" i="1"/>
  <c r="F6" i="1"/>
  <c r="F5" i="1"/>
  <c r="F4" i="1"/>
  <c r="F3" i="1"/>
  <c r="F16" i="1" s="1"/>
  <c r="D4" i="1"/>
  <c r="D15" i="1" s="1"/>
  <c r="D5" i="1"/>
  <c r="D6" i="1"/>
  <c r="D7" i="1"/>
  <c r="D18" i="1" s="1"/>
  <c r="D8" i="1"/>
  <c r="D9" i="1"/>
  <c r="D10" i="1"/>
  <c r="D17" i="1" s="1"/>
  <c r="D26" i="1" s="1"/>
  <c r="D11" i="1"/>
  <c r="D12" i="1"/>
  <c r="D13" i="1"/>
  <c r="D3" i="1"/>
  <c r="D16" i="1" s="1"/>
  <c r="P7" i="8" l="1"/>
  <c r="L7" i="8"/>
  <c r="P5" i="8"/>
  <c r="L5" i="8"/>
  <c r="D24" i="1"/>
  <c r="D23" i="1"/>
  <c r="F15" i="1"/>
  <c r="D19" i="1"/>
  <c r="N15" i="8"/>
  <c r="N16" i="8" s="1"/>
  <c r="N17" i="8" s="1"/>
  <c r="P8" i="8"/>
  <c r="L6" i="8"/>
  <c r="P6" i="8"/>
  <c r="L14" i="8"/>
  <c r="P14" i="8"/>
  <c r="L12" i="8"/>
  <c r="P12" i="8"/>
  <c r="L9" i="8"/>
  <c r="P9" i="8"/>
  <c r="J17" i="1"/>
  <c r="D21" i="1"/>
  <c r="H15" i="1"/>
  <c r="H16" i="1"/>
  <c r="N7" i="7"/>
  <c r="P11" i="8"/>
  <c r="H17" i="1"/>
  <c r="D27" i="1" s="1"/>
  <c r="L4" i="8"/>
  <c r="L15" i="8" s="1"/>
  <c r="L16" i="8" s="1"/>
  <c r="L17" i="8" s="1"/>
  <c r="P4" i="8"/>
  <c r="P15" i="8" s="1"/>
  <c r="P16" i="8" s="1"/>
  <c r="C21" i="8" s="1"/>
  <c r="P10" i="8"/>
  <c r="Y11" i="8"/>
  <c r="S8" i="8"/>
  <c r="T7" i="8"/>
  <c r="U7" i="8" s="1"/>
  <c r="K9" i="7"/>
  <c r="L8" i="7"/>
  <c r="N8" i="7" s="1"/>
  <c r="M8" i="7"/>
  <c r="V7" i="8" l="1"/>
  <c r="S9" i="8"/>
  <c r="T8" i="8"/>
  <c r="U8" i="8" s="1"/>
  <c r="K10" i="7"/>
  <c r="L9" i="7"/>
  <c r="M9" i="7" s="1"/>
  <c r="N9" i="7"/>
  <c r="V8" i="8" l="1"/>
  <c r="S10" i="8"/>
  <c r="T9" i="8"/>
  <c r="V9" i="8" s="1"/>
  <c r="K11" i="7"/>
  <c r="L10" i="7"/>
  <c r="M10" i="7" s="1"/>
  <c r="N10" i="7"/>
  <c r="U9" i="8" l="1"/>
  <c r="S11" i="8"/>
  <c r="T10" i="8"/>
  <c r="U10" i="8" s="1"/>
  <c r="K12" i="7"/>
  <c r="L11" i="7"/>
  <c r="M11" i="7"/>
  <c r="N11" i="7"/>
  <c r="V10" i="8" l="1"/>
  <c r="S12" i="8"/>
  <c r="T11" i="8"/>
  <c r="V11" i="8" s="1"/>
  <c r="K13" i="7"/>
  <c r="L12" i="7"/>
  <c r="N12" i="7" s="1"/>
  <c r="U11" i="8" l="1"/>
  <c r="S13" i="8"/>
  <c r="T12" i="8"/>
  <c r="U12" i="8" s="1"/>
  <c r="M12" i="7"/>
  <c r="L13" i="7"/>
  <c r="N13" i="7" s="1"/>
  <c r="K14" i="7"/>
  <c r="V12" i="8" l="1"/>
  <c r="S14" i="8"/>
  <c r="T13" i="8"/>
  <c r="U13" i="8" s="1"/>
  <c r="K15" i="7"/>
  <c r="L14" i="7"/>
  <c r="N14" i="7" s="1"/>
  <c r="M13" i="7"/>
  <c r="V13" i="8" l="1"/>
  <c r="S15" i="8"/>
  <c r="T14" i="8"/>
  <c r="U14" i="8" s="1"/>
  <c r="M14" i="7"/>
  <c r="L15" i="7"/>
  <c r="M15" i="7" s="1"/>
  <c r="K16" i="7"/>
  <c r="N15" i="7"/>
  <c r="V14" i="8" l="1"/>
  <c r="S16" i="8"/>
  <c r="T15" i="8"/>
  <c r="U15" i="8" s="1"/>
  <c r="L16" i="7"/>
  <c r="M16" i="7" s="1"/>
  <c r="K17" i="7"/>
  <c r="N16" i="7"/>
  <c r="V15" i="8" l="1"/>
  <c r="S17" i="8"/>
  <c r="T16" i="8"/>
  <c r="V16" i="8" s="1"/>
  <c r="K18" i="7"/>
  <c r="L17" i="7"/>
  <c r="N17" i="7" s="1"/>
  <c r="U16" i="8" l="1"/>
  <c r="S18" i="8"/>
  <c r="T17" i="8"/>
  <c r="V17" i="8" s="1"/>
  <c r="M17" i="7"/>
  <c r="K19" i="7"/>
  <c r="L18" i="7"/>
  <c r="N18" i="7" s="1"/>
  <c r="U17" i="8" l="1"/>
  <c r="S19" i="8"/>
  <c r="T18" i="8"/>
  <c r="U18" i="8" s="1"/>
  <c r="K20" i="7"/>
  <c r="L19" i="7"/>
  <c r="N19" i="7" s="1"/>
  <c r="M18" i="7"/>
  <c r="V18" i="8" l="1"/>
  <c r="S20" i="8"/>
  <c r="T19" i="8"/>
  <c r="V19" i="8" s="1"/>
  <c r="M19" i="7"/>
  <c r="L20" i="7"/>
  <c r="M20" i="7" s="1"/>
  <c r="N20" i="7"/>
  <c r="K21" i="7"/>
  <c r="U19" i="8" l="1"/>
  <c r="S21" i="8"/>
  <c r="T20" i="8"/>
  <c r="V20" i="8" s="1"/>
  <c r="L21" i="7"/>
  <c r="M21" i="7" s="1"/>
  <c r="N21" i="7"/>
  <c r="K22" i="7"/>
  <c r="U20" i="8" l="1"/>
  <c r="T21" i="8"/>
  <c r="U21" i="8" s="1"/>
  <c r="L22" i="7"/>
  <c r="N22" i="7" s="1"/>
  <c r="V21" i="8" l="1"/>
  <c r="T22" i="8"/>
  <c r="V22" i="8" s="1"/>
  <c r="M22" i="7"/>
  <c r="U22" i="8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Запрос — ^SPX" description="Соединение с запросом &quot;^SPX&quot; в книге." type="5" refreshedVersion="8" background="1" saveData="1">
    <dbPr connection="Provider=Microsoft.Mashup.OleDb.1;Data Source=$Workbook$;Location=^SPX;Extended Properties=&quot;&quot;" command="SELECT * FROM [^SPX]"/>
  </connection>
  <connection id="2" xr16:uid="{00000000-0015-0000-FFFF-FFFF01000000}" keepAlive="1" name="Запрос — BTC-USD" description="Соединение с запросом &quot;BTC-USD&quot; в книге." type="5" refreshedVersion="8" background="1" saveData="1">
    <dbPr connection="Provider=Microsoft.Mashup.OleDb.1;Data Source=$Workbook$;Location=BTC-USD;Extended Properties=&quot;&quot;" command="SELECT * FROM [BTC-USD]"/>
  </connection>
  <connection id="3" xr16:uid="{00000000-0015-0000-FFFF-FFFF02000000}" keepAlive="1" name="Запрос — HSBK IL" description="Соединение с запросом &quot;HSBK IL&quot; в книге." type="5" refreshedVersion="8" background="1" saveData="1">
    <dbPr connection="Provider=Microsoft.Mashup.OleDb.1;Data Source=$Workbook$;Location=&quot;HSBK IL&quot;;Extended Properties=&quot;&quot;" command="SELECT * FROM [HSBK IL]"/>
  </connection>
  <connection id="4" xr16:uid="{00000000-0015-0000-FFFF-FFFF03000000}" keepAlive="1" name="Запрос — KSPI IL (1)" description="Соединение с запросом &quot;KSPI IL (1)&quot; в книге." type="5" refreshedVersion="8" background="1" saveData="1">
    <dbPr connection="Provider=Microsoft.Mashup.OleDb.1;Data Source=$Workbook$;Location=&quot;KSPI IL (1)&quot;;Extended Properties=&quot;&quot;" command="SELECT * FROM [KSPI IL (1)]"/>
  </connection>
</connections>
</file>

<file path=xl/sharedStrings.xml><?xml version="1.0" encoding="utf-8"?>
<sst xmlns="http://schemas.openxmlformats.org/spreadsheetml/2006/main" count="431" uniqueCount="307">
  <si>
    <t>Date</t>
  </si>
  <si>
    <t>Open</t>
  </si>
  <si>
    <t>High</t>
  </si>
  <si>
    <t>Low</t>
  </si>
  <si>
    <t>Close</t>
  </si>
  <si>
    <t>Adj Close</t>
  </si>
  <si>
    <t>Volume</t>
  </si>
  <si>
    <t>66.000000</t>
  </si>
  <si>
    <t>78.099998</t>
  </si>
  <si>
    <t>62.099998</t>
  </si>
  <si>
    <t>75.900002</t>
  </si>
  <si>
    <t>71.062820</t>
  </si>
  <si>
    <t>77.900002</t>
  </si>
  <si>
    <t>82.500000</t>
  </si>
  <si>
    <t>67.500000</t>
  </si>
  <si>
    <t>71.500000</t>
  </si>
  <si>
    <t>68.160454</t>
  </si>
  <si>
    <t>78.599998</t>
  </si>
  <si>
    <t>68.199997</t>
  </si>
  <si>
    <t>73.300003</t>
  </si>
  <si>
    <t>69.876381</t>
  </si>
  <si>
    <t>73.000000</t>
  </si>
  <si>
    <t>90.000000</t>
  </si>
  <si>
    <t>71.199997</t>
  </si>
  <si>
    <t>74.400002</t>
  </si>
  <si>
    <t>70.924995</t>
  </si>
  <si>
    <t>78.000000</t>
  </si>
  <si>
    <t>70.000000</t>
  </si>
  <si>
    <t>75.500000</t>
  </si>
  <si>
    <t>71.973625</t>
  </si>
  <si>
    <t>75.300003</t>
  </si>
  <si>
    <t>82.699997</t>
  </si>
  <si>
    <t>78.646675</t>
  </si>
  <si>
    <t>85.599998</t>
  </si>
  <si>
    <t>76.000000</t>
  </si>
  <si>
    <t>80.000000</t>
  </si>
  <si>
    <t>77.623650</t>
  </si>
  <si>
    <t>77.099998</t>
  </si>
  <si>
    <t>86.400002</t>
  </si>
  <si>
    <t>74.300003</t>
  </si>
  <si>
    <t>79.599998</t>
  </si>
  <si>
    <t>78.213196</t>
  </si>
  <si>
    <t>79.199997</t>
  </si>
  <si>
    <t>94.699997</t>
  </si>
  <si>
    <t>76.500000</t>
  </si>
  <si>
    <t>91.699997</t>
  </si>
  <si>
    <t>90.102386</t>
  </si>
  <si>
    <t>94.000000</t>
  </si>
  <si>
    <t>105.000000</t>
  </si>
  <si>
    <t>88.000000</t>
  </si>
  <si>
    <t>101.800003</t>
  </si>
  <si>
    <t>100.026428</t>
  </si>
  <si>
    <t>102.400002</t>
  </si>
  <si>
    <t>92.000000</t>
  </si>
  <si>
    <t>96.800003</t>
  </si>
  <si>
    <t>95.199997</t>
  </si>
  <si>
    <t>99.400002</t>
  </si>
  <si>
    <t>90.099998</t>
  </si>
  <si>
    <t>0.000000</t>
  </si>
  <si>
    <t>92.170776</t>
  </si>
  <si>
    <t>10.260000</t>
  </si>
  <si>
    <t>11.000000</t>
  </si>
  <si>
    <t>9.830000</t>
  </si>
  <si>
    <t>10.700000</t>
  </si>
  <si>
    <t>8.982049</t>
  </si>
  <si>
    <t>10.900000</t>
  </si>
  <si>
    <t>11.960000</t>
  </si>
  <si>
    <t>10.420000</t>
  </si>
  <si>
    <t>11.100000</t>
  </si>
  <si>
    <t>9.317827</t>
  </si>
  <si>
    <t>11.260000</t>
  </si>
  <si>
    <t>10.040000</t>
  </si>
  <si>
    <t>10.400000</t>
  </si>
  <si>
    <t>8.730216</t>
  </si>
  <si>
    <t>10.460000</t>
  </si>
  <si>
    <t>11.840000</t>
  </si>
  <si>
    <t>10.440000</t>
  </si>
  <si>
    <t>11.200000</t>
  </si>
  <si>
    <t>9.401772</t>
  </si>
  <si>
    <t>11.140000</t>
  </si>
  <si>
    <t>11.800000</t>
  </si>
  <si>
    <t>10.600000</t>
  </si>
  <si>
    <t>11.560000</t>
  </si>
  <si>
    <t>9.703972</t>
  </si>
  <si>
    <t>13.400000</t>
  </si>
  <si>
    <t>11.420000</t>
  </si>
  <si>
    <t>11.248548</t>
  </si>
  <si>
    <t>13.200000</t>
  </si>
  <si>
    <t>14.500000</t>
  </si>
  <si>
    <t>12.400000</t>
  </si>
  <si>
    <t>12.840000</t>
  </si>
  <si>
    <t>10.778460</t>
  </si>
  <si>
    <t>12.940000</t>
  </si>
  <si>
    <t>14.380000</t>
  </si>
  <si>
    <t>12.200000</t>
  </si>
  <si>
    <t>14.040000</t>
  </si>
  <si>
    <t>13.900000</t>
  </si>
  <si>
    <t>15.300000</t>
  </si>
  <si>
    <t>13.820000</t>
  </si>
  <si>
    <t>14.320000</t>
  </si>
  <si>
    <t>14.780000</t>
  </si>
  <si>
    <t>15.020000</t>
  </si>
  <si>
    <t>14.200000</t>
  </si>
  <si>
    <t>15.000000</t>
  </si>
  <si>
    <t>15.200000</t>
  </si>
  <si>
    <t>13.020000</t>
  </si>
  <si>
    <t>13.340000</t>
  </si>
  <si>
    <t>13.520000</t>
  </si>
  <si>
    <t>13.740000</t>
  </si>
  <si>
    <t>12.600000</t>
  </si>
  <si>
    <t>12.640000</t>
  </si>
  <si>
    <t>20494.898438</t>
  </si>
  <si>
    <t>21446.886719</t>
  </si>
  <si>
    <t>15599.046875</t>
  </si>
  <si>
    <t>17168.566406</t>
  </si>
  <si>
    <t>17168.001953</t>
  </si>
  <si>
    <t>18318.531250</t>
  </si>
  <si>
    <t>16398.136719</t>
  </si>
  <si>
    <t>16547.496094</t>
  </si>
  <si>
    <t>16547.914063</t>
  </si>
  <si>
    <t>23919.890625</t>
  </si>
  <si>
    <t>16521.234375</t>
  </si>
  <si>
    <t>23139.283203</t>
  </si>
  <si>
    <t>23137.835938</t>
  </si>
  <si>
    <t>25134.117188</t>
  </si>
  <si>
    <t>21460.087891</t>
  </si>
  <si>
    <t>23147.353516</t>
  </si>
  <si>
    <t>23150.929688</t>
  </si>
  <si>
    <t>29159.902344</t>
  </si>
  <si>
    <t>19628.253906</t>
  </si>
  <si>
    <t>28478.484375</t>
  </si>
  <si>
    <t>28473.332031</t>
  </si>
  <si>
    <t>31005.607422</t>
  </si>
  <si>
    <t>27070.849609</t>
  </si>
  <si>
    <t>29268.806641</t>
  </si>
  <si>
    <t>29227.103516</t>
  </si>
  <si>
    <t>29820.126953</t>
  </si>
  <si>
    <t>25878.429688</t>
  </si>
  <si>
    <t>27219.658203</t>
  </si>
  <si>
    <t>27218.412109</t>
  </si>
  <si>
    <t>31389.539063</t>
  </si>
  <si>
    <t>24797.167969</t>
  </si>
  <si>
    <t>30477.251953</t>
  </si>
  <si>
    <t>30471.847656</t>
  </si>
  <si>
    <t>31814.515625</t>
  </si>
  <si>
    <t>28934.294922</t>
  </si>
  <si>
    <t>29230.111328</t>
  </si>
  <si>
    <t>29230.873047</t>
  </si>
  <si>
    <t>30176.796875</t>
  </si>
  <si>
    <t>25409.111328</t>
  </si>
  <si>
    <t>25931.472656</t>
  </si>
  <si>
    <t>25934.021484</t>
  </si>
  <si>
    <t>27488.763672</t>
  </si>
  <si>
    <t>24930.296875</t>
  </si>
  <si>
    <t>26967.916016</t>
  </si>
  <si>
    <t>26967.396484</t>
  </si>
  <si>
    <t>28494.458984</t>
  </si>
  <si>
    <t>26965.093750</t>
  </si>
  <si>
    <t>27946.597656</t>
  </si>
  <si>
    <t>3901.790039</t>
  </si>
  <si>
    <t>4080.110107</t>
  </si>
  <si>
    <t>3698.149902</t>
  </si>
  <si>
    <t>4087.139893</t>
  </si>
  <si>
    <t>4100.959961</t>
  </si>
  <si>
    <t>3764.489990</t>
  </si>
  <si>
    <t>3839.500000</t>
  </si>
  <si>
    <t>3853.290039</t>
  </si>
  <si>
    <t>4094.209961</t>
  </si>
  <si>
    <t>3794.330078</t>
  </si>
  <si>
    <t>4076.600098</t>
  </si>
  <si>
    <t>4070.070068</t>
  </si>
  <si>
    <t>4195.439941</t>
  </si>
  <si>
    <t>3943.080078</t>
  </si>
  <si>
    <t>3970.149902</t>
  </si>
  <si>
    <t>3963.340088</t>
  </si>
  <si>
    <t>4110.750000</t>
  </si>
  <si>
    <t>3808.860107</t>
  </si>
  <si>
    <t>4109.310059</t>
  </si>
  <si>
    <t>4102.200195</t>
  </si>
  <si>
    <t>4170.060059</t>
  </si>
  <si>
    <t>4049.350098</t>
  </si>
  <si>
    <t>4169.479980</t>
  </si>
  <si>
    <t>4166.790039</t>
  </si>
  <si>
    <t>4231.100098</t>
  </si>
  <si>
    <t>4048.280029</t>
  </si>
  <si>
    <t>4179.830078</t>
  </si>
  <si>
    <t>4183.029785</t>
  </si>
  <si>
    <t>4458.479980</t>
  </si>
  <si>
    <t>4171.640137</t>
  </si>
  <si>
    <t>4450.379883</t>
  </si>
  <si>
    <t>4450.479980</t>
  </si>
  <si>
    <t>4607.069824</t>
  </si>
  <si>
    <t>4385.049805</t>
  </si>
  <si>
    <t>4588.959961</t>
  </si>
  <si>
    <t>4578.830078</t>
  </si>
  <si>
    <t>4584.620117</t>
  </si>
  <si>
    <t>4335.310059</t>
  </si>
  <si>
    <t>4507.660156</t>
  </si>
  <si>
    <t>4530.600098</t>
  </si>
  <si>
    <t>4541.250000</t>
  </si>
  <si>
    <t>4238.629883</t>
  </si>
  <si>
    <t>4288.049805</t>
  </si>
  <si>
    <t>4284.520020</t>
  </si>
  <si>
    <t>4324.100098</t>
  </si>
  <si>
    <t>4216.450195</t>
  </si>
  <si>
    <t>4308.500000</t>
  </si>
  <si>
    <t>Kaspi</t>
  </si>
  <si>
    <t>return %</t>
  </si>
  <si>
    <t>Halyk</t>
  </si>
  <si>
    <t>BTC</t>
  </si>
  <si>
    <t>SPX</t>
  </si>
  <si>
    <t>Столбец1</t>
  </si>
  <si>
    <t>Среднее</t>
  </si>
  <si>
    <t>Стандартная ошибка</t>
  </si>
  <si>
    <t>Медиана</t>
  </si>
  <si>
    <t>Мода</t>
  </si>
  <si>
    <t>Стандартное отклонение</t>
  </si>
  <si>
    <t>Дисперсия выборки</t>
  </si>
  <si>
    <t>Эксцесс</t>
  </si>
  <si>
    <t>Асимметричность</t>
  </si>
  <si>
    <t>Интервал</t>
  </si>
  <si>
    <t>Минимум</t>
  </si>
  <si>
    <t>Максимум</t>
  </si>
  <si>
    <t>MEAN</t>
  </si>
  <si>
    <t>Сумма</t>
  </si>
  <si>
    <t>VARIANCE</t>
  </si>
  <si>
    <t>Счет</t>
  </si>
  <si>
    <t>Standard deviation</t>
  </si>
  <si>
    <t>Cor K and H</t>
  </si>
  <si>
    <t>Cor K and BTC</t>
  </si>
  <si>
    <t>Cor H and BTC</t>
  </si>
  <si>
    <t>Cor BTC and SPX</t>
  </si>
  <si>
    <t>COV K and H</t>
  </si>
  <si>
    <t>COV K and BTC</t>
  </si>
  <si>
    <t>SD</t>
  </si>
  <si>
    <t>Portfolio K and H</t>
  </si>
  <si>
    <t>Portfolio H and BTC</t>
  </si>
  <si>
    <t>w kaspi</t>
  </si>
  <si>
    <t>w halyk</t>
  </si>
  <si>
    <t>w btc</t>
  </si>
  <si>
    <t>Y</t>
  </si>
  <si>
    <t>X</t>
  </si>
  <si>
    <t>dependent</t>
  </si>
  <si>
    <t>independent</t>
  </si>
  <si>
    <t>halyk return %</t>
  </si>
  <si>
    <t>SPX return %</t>
  </si>
  <si>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</si>
  <si>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</si>
  <si>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</si>
  <si>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</si>
  <si>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</si>
  <si>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Наблюдения</t>
  </si>
  <si>
    <t>Дисперсионный анализ</t>
  </si>
  <si>
    <t>df</t>
  </si>
  <si>
    <t>SS</t>
  </si>
  <si>
    <t>MS</t>
  </si>
  <si>
    <t>F</t>
  </si>
  <si>
    <t>Значимость F</t>
  </si>
  <si>
    <t>Регрессия</t>
  </si>
  <si>
    <t>Остаток</t>
  </si>
  <si>
    <t>Итого</t>
  </si>
  <si>
    <t>Коэффициенты</t>
  </si>
  <si>
    <t>t-статистика</t>
  </si>
  <si>
    <t>P-Значение</t>
  </si>
  <si>
    <t>Нижние 95%</t>
  </si>
  <si>
    <t>Верхние 95%</t>
  </si>
  <si>
    <t>Нижние 95,0%</t>
  </si>
  <si>
    <t>Верхние 95,0%</t>
  </si>
  <si>
    <t>Y-пересечение</t>
  </si>
  <si>
    <t>Y=a+bx</t>
  </si>
  <si>
    <t>0,031163028 + 1,028757182 * X</t>
  </si>
  <si>
    <t>ВЫВОД ОСТАТКА</t>
  </si>
  <si>
    <t>Наблюдение</t>
  </si>
  <si>
    <t>Предсказанное halyk return %</t>
  </si>
  <si>
    <t>Остатки</t>
  </si>
  <si>
    <t>predictive</t>
  </si>
  <si>
    <t xml:space="preserve">error residual </t>
  </si>
  <si>
    <t>W halyk</t>
  </si>
  <si>
    <t>W spx</t>
  </si>
  <si>
    <t>Portfolio SD</t>
  </si>
  <si>
    <t>Portfolio ER</t>
  </si>
  <si>
    <t>ER</t>
  </si>
  <si>
    <t>Cor</t>
  </si>
  <si>
    <t>cor</t>
  </si>
  <si>
    <t>cov</t>
  </si>
  <si>
    <t>(Xh-Xaver)</t>
  </si>
  <si>
    <t>(Xh-Xaver)^2</t>
  </si>
  <si>
    <t>A</t>
  </si>
  <si>
    <t>B</t>
  </si>
  <si>
    <t>Rp-RFR/SD</t>
  </si>
  <si>
    <t>R p</t>
  </si>
  <si>
    <t>RFR</t>
  </si>
  <si>
    <t>optimal</t>
  </si>
  <si>
    <t xml:space="preserve">Sharpe </t>
  </si>
  <si>
    <t xml:space="preserve">RFR </t>
  </si>
  <si>
    <t>RFR month</t>
  </si>
  <si>
    <t>divid</t>
  </si>
  <si>
    <t>Sharpe</t>
  </si>
  <si>
    <t>apple</t>
  </si>
  <si>
    <t>HPR</t>
  </si>
  <si>
    <t>R</t>
  </si>
  <si>
    <t>13 month</t>
  </si>
  <si>
    <t>average</t>
  </si>
  <si>
    <t>VAR</t>
  </si>
  <si>
    <t>5 week</t>
  </si>
  <si>
    <t>кор</t>
  </si>
  <si>
    <t>cor = cov/sd h * sd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</si>
</sst>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%"/>
    <numFmt numFmtId="165" formatCode="0.00000"/>
    <numFmt numFmtId="166" formatCode="0.0000"/>
    <numFmt numFmtId="167" formatCode="0.000%"/>
    <numFmt numFmtId="168" formatCode="_-* #,##0.00000_-;\-* #,##0.00000_-;_-* &quot;-&quot;??_-;_-@_-"/>
    <numFmt numFmtId="169" formatCode="_-* #,##0.0000000_-;\-* #,##0.0000000_-;_-* &quot;-&quot;??_-;_-@_-"/>
    <numFmt numFmtId="170" formatCode="_-* #,##0.000_-;\-* #,##0.000_-;_-* &quot;-&quot;??_-;_-@_-"/>
  </numFmts>
  <fonts count="7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14" fontId="0" fillId="0" borderId="0" xfId="0" applyNumberFormat="1"/>
    <xf numFmtId="0" fontId="4" fillId="3" borderId="0" xfId="0" applyFont="1" applyFill="1"/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43" fontId="0" fillId="0" borderId="0" xfId="1" applyFont="1" applyAlignment="1">
      <alignment horizontal="center"/>
    </xf>
    <xf numFmtId="9" fontId="0" fillId="0" borderId="0" xfId="2" applyFont="1" applyAlignment="1">
      <alignment horizontal="center"/>
    </xf>
    <xf numFmtId="164" fontId="0" fillId="0" borderId="0" xfId="2" applyNumberFormat="1" applyFont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0" xfId="0" applyFont="1" applyFill="1"/>
    <xf numFmtId="164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9" fontId="0" fillId="0" borderId="0" xfId="0" applyNumberFormat="1" applyAlignment="1">
      <alignment horizontal="center"/>
    </xf>
    <xf numFmtId="167" fontId="3" fillId="0" borderId="0" xfId="2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1" xfId="0" applyBorder="1"/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Continuous"/>
    </xf>
    <xf numFmtId="10" fontId="0" fillId="0" borderId="0" xfId="2" applyNumberFormat="1" applyFont="1"/>
    <xf numFmtId="0" fontId="6" fillId="0" borderId="0" xfId="0" applyFont="1"/>
    <xf numFmtId="0" fontId="0" fillId="4" borderId="0" xfId="0" applyFill="1"/>
    <xf numFmtId="0" fontId="0" fillId="4" borderId="1" xfId="0" applyFill="1" applyBorder="1"/>
    <xf numFmtId="168" fontId="0" fillId="0" borderId="0" xfId="1" applyNumberFormat="1" applyFont="1"/>
    <xf numFmtId="169" fontId="0" fillId="0" borderId="0" xfId="1" applyNumberFormat="1" applyFont="1"/>
    <xf numFmtId="0" fontId="5" fillId="0" borderId="0" xfId="0" applyFont="1" applyAlignment="1">
      <alignment horizontal="center"/>
    </xf>
    <xf numFmtId="10" fontId="0" fillId="0" borderId="0" xfId="2" applyNumberFormat="1" applyFont="1" applyFill="1" applyBorder="1" applyAlignme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4" fontId="0" fillId="6" borderId="0" xfId="0" applyNumberFormat="1" applyFill="1"/>
    <xf numFmtId="164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10" fontId="0" fillId="0" borderId="0" xfId="0" applyNumberFormat="1"/>
    <xf numFmtId="0" fontId="3" fillId="6" borderId="0" xfId="0" applyFont="1" applyFill="1"/>
    <xf numFmtId="170" fontId="3" fillId="6" borderId="0" xfId="1" applyNumberFormat="1" applyFont="1" applyFill="1"/>
    <xf numFmtId="164" fontId="0" fillId="0" borderId="0" xfId="2" applyNumberFormat="1" applyFont="1"/>
    <xf numFmtId="10" fontId="0" fillId="0" borderId="0" xfId="0" applyNumberFormat="1" applyAlignment="1">
      <alignment horizontal="center"/>
    </xf>
    <xf numFmtId="164" fontId="0" fillId="6" borderId="0" xfId="2" applyNumberFormat="1" applyFont="1" applyFill="1" applyAlignment="1">
      <alignment horizontal="center"/>
    </xf>
    <xf numFmtId="0" fontId="0" fillId="6" borderId="0" xfId="0" applyFill="1"/>
  </cellXfs>
  <cellStyles count="3">
    <cellStyle name="Обычный" xfId="0" builtinId="0"/>
    <cellStyle name="Процентный" xfId="2" builtinId="5"/>
    <cellStyle name="Финансовый" xfId="1" builtinId="3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SPX return % </a:t>
            </a:r>
            <a:r>
              <a:rPr lang="ru-RU"/>
              <a:t>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halyk return %</c:v>
          </c:tx>
          <c:spPr>
            <a:ln w="19050">
              <a:noFill/>
            </a:ln>
          </c:spPr>
          <c:xVal>
            <c:numRef>
              <c:f>regression!$C$4:$C$14</c:f>
              <c:numCache>
                <c:formatCode>0.00%</c:formatCode>
                <c:ptCount val="11"/>
                <c:pt idx="0">
                  <c:v>-5.8971473977430085E-2</c:v>
                </c:pt>
                <c:pt idx="1">
                  <c:v>6.175285792420885E-2</c:v>
                </c:pt>
                <c:pt idx="2">
                  <c:v>-2.6112494098262121E-2</c:v>
                </c:pt>
                <c:pt idx="3">
                  <c:v>3.5051612769053636E-2</c:v>
                </c:pt>
                <c:pt idx="4">
                  <c:v>1.4642341448102371E-2</c:v>
                </c:pt>
                <c:pt idx="5">
                  <c:v>2.4823474509163826E-3</c:v>
                </c:pt>
                <c:pt idx="6">
                  <c:v>6.4727464980933999E-2</c:v>
                </c:pt>
                <c:pt idx="7">
                  <c:v>3.1138932325611532E-2</c:v>
                </c:pt>
                <c:pt idx="8">
                  <c:v>-1.7716390138710923E-2</c:v>
                </c:pt>
                <c:pt idx="9">
                  <c:v>-4.8719367343539433E-2</c:v>
                </c:pt>
                <c:pt idx="10">
                  <c:v>4.7691132169581573E-3</c:v>
                </c:pt>
              </c:numCache>
            </c:numRef>
          </c:xVal>
          <c:yVal>
            <c:numRef>
              <c:f>regression!$B$4:$B$14</c:f>
              <c:numCache>
                <c:formatCode>0.00%</c:formatCode>
                <c:ptCount val="11"/>
                <c:pt idx="0">
                  <c:v>3.7383229594939803E-2</c:v>
                </c:pt>
                <c:pt idx="1">
                  <c:v>-6.3063094002496406E-2</c:v>
                </c:pt>
                <c:pt idx="2">
                  <c:v>7.6923182656648922E-2</c:v>
                </c:pt>
                <c:pt idx="3">
                  <c:v>3.2142876895972478E-2</c:v>
                </c:pt>
                <c:pt idx="4">
                  <c:v>0.15916946174205771</c:v>
                </c:pt>
                <c:pt idx="5">
                  <c:v>-4.1790993824269478E-2</c:v>
                </c:pt>
                <c:pt idx="6">
                  <c:v>0.30259795926319699</c:v>
                </c:pt>
                <c:pt idx="7">
                  <c:v>1.9943019943020026E-2</c:v>
                </c:pt>
                <c:pt idx="8">
                  <c:v>4.748603351955305E-2</c:v>
                </c:pt>
                <c:pt idx="9">
                  <c:v>-0.11066666666666668</c:v>
                </c:pt>
                <c:pt idx="10">
                  <c:v>-5.2473763118440729E-2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03-46F2-A43E-DBA5596EEFCB}"/>
            </c:ext>
          </c:extLst>
        </c:ser>
        <c:ser>
          <c:idx val="1"/>
          <c:order val="1"/>
          <c:tx>
            <c:v>Предсказанное halyk return %</c:v>
          </c:tx>
          <c:spPr>
            <a:ln w="19050">
              <a:noFill/>
            </a:ln>
          </c:spPr>
          <c:trendline>
            <c:trendlineType val="linear"/>
            <c:dispRSqr val="0"/>
            <c:dispEq val="0"/>
          </c:trendline>
          <c:xVal>
            <c:numRef>
              <c:f>regression!$C$4:$C$14</c:f>
              <c:numCache>
                <c:formatCode>0.00%</c:formatCode>
                <c:ptCount val="11"/>
                <c:pt idx="0">
                  <c:v>-5.8971473977430085E-2</c:v>
                </c:pt>
                <c:pt idx="1">
                  <c:v>6.175285792420885E-2</c:v>
                </c:pt>
                <c:pt idx="2">
                  <c:v>-2.6112494098262121E-2</c:v>
                </c:pt>
                <c:pt idx="3">
                  <c:v>3.5051612769053636E-2</c:v>
                </c:pt>
                <c:pt idx="4">
                  <c:v>1.4642341448102371E-2</c:v>
                </c:pt>
                <c:pt idx="5">
                  <c:v>2.4823474509163826E-3</c:v>
                </c:pt>
                <c:pt idx="6">
                  <c:v>6.4727464980933999E-2</c:v>
                </c:pt>
                <c:pt idx="7">
                  <c:v>3.1138932325611532E-2</c:v>
                </c:pt>
                <c:pt idx="8">
                  <c:v>-1.7716390138710923E-2</c:v>
                </c:pt>
                <c:pt idx="9">
                  <c:v>-4.8719367343539433E-2</c:v>
                </c:pt>
                <c:pt idx="10">
                  <c:v>4.7691132169581573E-3</c:v>
                </c:pt>
              </c:numCache>
            </c:numRef>
          </c:xVal>
          <c:yVal>
            <c:numRef>
              <c:f>regression!$G$27:$G$37</c:f>
              <c:numCache>
                <c:formatCode>General</c:formatCode>
                <c:ptCount val="11"/>
                <c:pt idx="0">
                  <c:v>-2.9504299494292587E-2</c:v>
                </c:pt>
                <c:pt idx="1">
                  <c:v>9.4691723936811745E-2</c:v>
                </c:pt>
                <c:pt idx="2">
                  <c:v>4.2996120346634713E-3</c:v>
                </c:pt>
                <c:pt idx="3">
                  <c:v>6.7222626227236446E-2</c:v>
                </c:pt>
                <c:pt idx="4">
                  <c:v>4.6226441785695398E-2</c:v>
                </c:pt>
                <c:pt idx="5">
                  <c:v>3.3716760633539053E-2</c:v>
                </c:pt>
                <c:pt idx="6">
                  <c:v>9.7751872308693921E-2</c:v>
                </c:pt>
                <c:pt idx="7">
                  <c:v>6.3197428121952393E-2</c:v>
                </c:pt>
                <c:pt idx="8">
                  <c:v>1.2937164280055122E-2</c:v>
                </c:pt>
                <c:pt idx="9">
                  <c:v>-1.89573711687064E-2</c:v>
                </c:pt>
                <c:pt idx="10">
                  <c:v>3.6069287337867136E-2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203-46F2-A43E-DBA5596EEF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796096"/>
        <c:axId val="108796672"/>
      </c:scatterChart>
      <c:valAx>
        <c:axId val="108796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SPX return %</a:t>
                </a:r>
              </a:p>
            </c:rich>
          </c:tx>
          <c:overlay val="0"/>
        </c:title>
        <c:numFmt formatCode="0.00%" sourceLinked="1"/>
        <c:majorTickMark val="out"/>
        <c:minorTickMark val="none"/>
        <c:tickLblPos val="nextTo"/>
        <c:crossAx val="108796672"/>
        <c:crosses val="autoZero"/>
        <c:crossBetween val="midCat"/>
      </c:valAx>
      <c:valAx>
        <c:axId val="1087966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halyk return %</a:t>
                </a:r>
              </a:p>
            </c:rich>
          </c:tx>
          <c:overlay val="0"/>
        </c:title>
        <c:numFmt formatCode="0.00%" sourceLinked="1"/>
        <c:majorTickMark val="out"/>
        <c:minorTickMark val="none"/>
        <c:tickLblPos val="nextTo"/>
        <c:crossAx val="10879609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'opt H and SPX'!$N$1</c:f>
              <c:strCache>
                <c:ptCount val="1"/>
                <c:pt idx="0">
                  <c:v>Portfolio ER</c:v>
                </c:pt>
              </c:strCache>
            </c:strRef>
          </c:tx>
          <c:xVal>
            <c:numRef>
              <c:f>'opt H and SPX'!$M$2:$M$22</c:f>
              <c:numCache>
                <c:formatCode>0.0%</c:formatCode>
                <c:ptCount val="21"/>
                <c:pt idx="0">
                  <c:v>4.1146354202590128E-2</c:v>
                </c:pt>
                <c:pt idx="1">
                  <c:v>4.1554717771204647E-2</c:v>
                </c:pt>
                <c:pt idx="2">
                  <c:v>4.2642391734168894E-2</c:v>
                </c:pt>
                <c:pt idx="3">
                  <c:v>4.4359435021904176E-2</c:v>
                </c:pt>
                <c:pt idx="4">
                  <c:v>4.6636383618384701E-2</c:v>
                </c:pt>
                <c:pt idx="5">
                  <c:v>4.9395870044226596E-2</c:v>
                </c:pt>
                <c:pt idx="6">
                  <c:v>5.2561949894743082E-2</c:v>
                </c:pt>
                <c:pt idx="7">
                  <c:v>5.6065783459568481E-2</c:v>
                </c:pt>
                <c:pt idx="8">
                  <c:v>5.9848078265048253E-2</c:v>
                </c:pt>
                <c:pt idx="9">
                  <c:v>6.3859374942054042E-2</c:v>
                </c:pt>
                <c:pt idx="10">
                  <c:v>6.8059194550381771E-2</c:v>
                </c:pt>
                <c:pt idx="11">
                  <c:v>7.2414743364800874E-2</c:v>
                </c:pt>
                <c:pt idx="12">
                  <c:v>7.6899564688102162E-2</c:v>
                </c:pt>
                <c:pt idx="13">
                  <c:v>8.1492318292803664E-2</c:v>
                </c:pt>
                <c:pt idx="14">
                  <c:v>8.6175749089509035E-2</c:v>
                </c:pt>
                <c:pt idx="15">
                  <c:v>9.0935847829262534E-2</c:v>
                </c:pt>
                <c:pt idx="16">
                  <c:v>9.5761182159588787E-2</c:v>
                </c:pt>
                <c:pt idx="17">
                  <c:v>0.10064236928681417</c:v>
                </c:pt>
                <c:pt idx="18">
                  <c:v>0.10557166230391272</c:v>
                </c:pt>
                <c:pt idx="19">
                  <c:v>0.11054262601569442</c:v>
                </c:pt>
                <c:pt idx="20">
                  <c:v>0.11554988251905039</c:v>
                </c:pt>
              </c:numCache>
            </c:numRef>
          </c:xVal>
          <c:yVal>
            <c:numRef>
              <c:f>'opt H and SPX'!$N$2:$N$22</c:f>
              <c:numCache>
                <c:formatCode>0.0%</c:formatCode>
                <c:ptCount val="21"/>
                <c:pt idx="0">
                  <c:v>5.7313585961674875E-3</c:v>
                </c:pt>
                <c:pt idx="1">
                  <c:v>7.2977508754660022E-3</c:v>
                </c:pt>
                <c:pt idx="2">
                  <c:v>8.8641431547645186E-3</c:v>
                </c:pt>
                <c:pt idx="3">
                  <c:v>1.0430535434063033E-2</c:v>
                </c:pt>
                <c:pt idx="4">
                  <c:v>1.1996927713361548E-2</c:v>
                </c:pt>
                <c:pt idx="5">
                  <c:v>1.3563319992660063E-2</c:v>
                </c:pt>
                <c:pt idx="6">
                  <c:v>1.5129712271958577E-2</c:v>
                </c:pt>
                <c:pt idx="7">
                  <c:v>1.6696104551257092E-2</c:v>
                </c:pt>
                <c:pt idx="8">
                  <c:v>1.8262496830555607E-2</c:v>
                </c:pt>
                <c:pt idx="9">
                  <c:v>1.9828889109854121E-2</c:v>
                </c:pt>
                <c:pt idx="10">
                  <c:v>2.1395281389152636E-2</c:v>
                </c:pt>
                <c:pt idx="11">
                  <c:v>2.296167366845115E-2</c:v>
                </c:pt>
                <c:pt idx="12">
                  <c:v>2.4528065947749669E-2</c:v>
                </c:pt>
                <c:pt idx="13">
                  <c:v>2.6094458227048187E-2</c:v>
                </c:pt>
                <c:pt idx="14">
                  <c:v>2.7660850506346701E-2</c:v>
                </c:pt>
                <c:pt idx="15">
                  <c:v>2.9227242785645216E-2</c:v>
                </c:pt>
                <c:pt idx="16">
                  <c:v>3.0793635064943734E-2</c:v>
                </c:pt>
                <c:pt idx="17">
                  <c:v>3.2360027344242245E-2</c:v>
                </c:pt>
                <c:pt idx="18">
                  <c:v>3.3926419623540767E-2</c:v>
                </c:pt>
                <c:pt idx="19">
                  <c:v>3.5492811902839282E-2</c:v>
                </c:pt>
                <c:pt idx="20">
                  <c:v>3.7059204182137796E-2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17-407E-95B7-36836FCBC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55616"/>
        <c:axId val="39655040"/>
      </c:scatterChart>
      <c:valAx>
        <c:axId val="39655616"/>
        <c:scaling>
          <c:orientation val="minMax"/>
        </c:scaling>
        <c:delete val="0"/>
        <c:axPos val="b"/>
        <c:numFmt formatCode="0.0%" sourceLinked="1"/>
        <c:majorTickMark val="out"/>
        <c:minorTickMark val="none"/>
        <c:tickLblPos val="nextTo"/>
        <c:crossAx val="39655040"/>
        <c:crosses val="autoZero"/>
        <c:crossBetween val="midCat"/>
      </c:valAx>
      <c:valAx>
        <c:axId val="39655040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3965561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'opt H and K'!$V$2</c:f>
              <c:strCache>
                <c:ptCount val="1"/>
                <c:pt idx="0">
                  <c:v>Portfolio ER</c:v>
                </c:pt>
              </c:strCache>
            </c:strRef>
          </c:tx>
          <c:xVal>
            <c:numRef>
              <c:f>'opt H and K'!$U$3:$U$23</c:f>
              <c:numCache>
                <c:formatCode>0.0%</c:formatCode>
                <c:ptCount val="21"/>
                <c:pt idx="0">
                  <c:v>0.11554988251905036</c:v>
                </c:pt>
                <c:pt idx="1">
                  <c:v>0.11068769298791835</c:v>
                </c:pt>
                <c:pt idx="2">
                  <c:v>0.10592427734226274</c:v>
                </c:pt>
                <c:pt idx="3">
                  <c:v>0.10127357406868349</c:v>
                </c:pt>
                <c:pt idx="4">
                  <c:v>9.6751838233086071E-2</c:v>
                </c:pt>
                <c:pt idx="5">
                  <c:v>9.237800994278339E-2</c:v>
                </c:pt>
                <c:pt idx="6">
                  <c:v>8.817410256514277E-2</c:v>
                </c:pt>
                <c:pt idx="7">
                  <c:v>8.4165581611602064E-2</c:v>
                </c:pt>
                <c:pt idx="8">
                  <c:v>8.0381683333591511E-2</c:v>
                </c:pt>
                <c:pt idx="9">
                  <c:v>7.6855592026448649E-2</c:v>
                </c:pt>
                <c:pt idx="10">
                  <c:v>7.3624358459694922E-2</c:v>
                </c:pt>
                <c:pt idx="11">
                  <c:v>7.072840599178655E-2</c:v>
                </c:pt>
                <c:pt idx="12">
                  <c:v>6.8210452222133261E-2</c:v>
                </c:pt>
                <c:pt idx="13">
                  <c:v>6.6113699739376711E-2</c:v>
                </c:pt>
                <c:pt idx="14">
                  <c:v>6.4479251831737305E-2</c:v>
                </c:pt>
                <c:pt idx="15">
                  <c:v>6.3342905388088566E-2</c:v>
                </c:pt>
                <c:pt idx="16">
                  <c:v>6.2731734647622162E-2</c:v>
                </c:pt>
                <c:pt idx="17">
                  <c:v>6.2661108540039562E-2</c:v>
                </c:pt>
                <c:pt idx="18">
                  <c:v>6.313284119778835E-2</c:v>
                </c:pt>
                <c:pt idx="19">
                  <c:v>6.4134966084151826E-2</c:v>
                </c:pt>
                <c:pt idx="20">
                  <c:v>6.564319640447934E-2</c:v>
                </c:pt>
              </c:numCache>
            </c:numRef>
          </c:xVal>
          <c:yVal>
            <c:numRef>
              <c:f>'opt H and K'!$V$3:$V$23</c:f>
              <c:numCache>
                <c:formatCode>0.0%</c:formatCode>
                <c:ptCount val="21"/>
                <c:pt idx="0">
                  <c:v>3.7059204182137789E-2</c:v>
                </c:pt>
                <c:pt idx="1">
                  <c:v>3.6486861817693277E-2</c:v>
                </c:pt>
                <c:pt idx="2">
                  <c:v>3.5914519453248771E-2</c:v>
                </c:pt>
                <c:pt idx="3">
                  <c:v>3.5342177088804258E-2</c:v>
                </c:pt>
                <c:pt idx="4">
                  <c:v>3.4769834724359745E-2</c:v>
                </c:pt>
                <c:pt idx="5">
                  <c:v>3.4197492359915233E-2</c:v>
                </c:pt>
                <c:pt idx="6">
                  <c:v>3.362514999547072E-2</c:v>
                </c:pt>
                <c:pt idx="7">
                  <c:v>3.3052807631026214E-2</c:v>
                </c:pt>
                <c:pt idx="8">
                  <c:v>3.2480465266581701E-2</c:v>
                </c:pt>
                <c:pt idx="9">
                  <c:v>3.1908122902137188E-2</c:v>
                </c:pt>
                <c:pt idx="10">
                  <c:v>3.1335780537692676E-2</c:v>
                </c:pt>
                <c:pt idx="11">
                  <c:v>3.076343817324817E-2</c:v>
                </c:pt>
                <c:pt idx="12">
                  <c:v>3.0191095808803657E-2</c:v>
                </c:pt>
                <c:pt idx="13">
                  <c:v>2.9618753444359144E-2</c:v>
                </c:pt>
                <c:pt idx="14">
                  <c:v>2.9046411079914632E-2</c:v>
                </c:pt>
                <c:pt idx="15">
                  <c:v>2.8474068715470122E-2</c:v>
                </c:pt>
                <c:pt idx="16">
                  <c:v>2.790172635102561E-2</c:v>
                </c:pt>
                <c:pt idx="17">
                  <c:v>2.73293839865811E-2</c:v>
                </c:pt>
                <c:pt idx="18">
                  <c:v>2.6757041622136588E-2</c:v>
                </c:pt>
                <c:pt idx="19">
                  <c:v>2.6184699257692071E-2</c:v>
                </c:pt>
                <c:pt idx="20">
                  <c:v>2.5612356893247572E-2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74-4A34-B79D-1CE81921BE3D}"/>
            </c:ext>
          </c:extLst>
        </c:ser>
        <c:ser>
          <c:idx val="1"/>
          <c:order val="1"/>
          <c:tx>
            <c:v>Global min variance portfolio</c:v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'opt H and K'!$Z$2</c:f>
              <c:numCache>
                <c:formatCode>0.0%</c:formatCode>
                <c:ptCount val="1"/>
                <c:pt idx="0">
                  <c:v>6.2623820318320728E-2</c:v>
                </c:pt>
              </c:numCache>
            </c:numRef>
          </c:xVal>
          <c:yVal>
            <c:numRef>
              <c:f>'opt H and K'!$AA$2</c:f>
              <c:numCache>
                <c:formatCode>0.0%</c:formatCode>
                <c:ptCount val="1"/>
                <c:pt idx="0">
                  <c:v>2.7541231400824005E-2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474-4A34-B79D-1CE81921BE3D}"/>
            </c:ext>
          </c:extLst>
        </c:ser>
        <c:ser>
          <c:idx val="2"/>
          <c:order val="2"/>
          <c:tx>
            <c:v>Sharpe</c:v>
          </c:tx>
          <c:marker>
            <c:spPr>
              <a:solidFill>
                <a:srgbClr val="FF0000"/>
              </a:solidFill>
            </c:spPr>
          </c:marker>
          <c:xVal>
            <c:numRef>
              <c:f>'opt H and K'!$Z$7</c:f>
              <c:numCache>
                <c:formatCode>0.0%</c:formatCode>
                <c:ptCount val="1"/>
                <c:pt idx="0">
                  <c:v>6.4685761931832661E-2</c:v>
                </c:pt>
              </c:numCache>
            </c:numRef>
          </c:xVal>
          <c:yVal>
            <c:numRef>
              <c:f>'opt H and K'!$AA$7</c:f>
              <c:numCache>
                <c:formatCode>0.0%</c:formatCode>
                <c:ptCount val="1"/>
                <c:pt idx="0">
                  <c:v>2.9129253664760161E-2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474-4A34-B79D-1CE81921B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036352"/>
        <c:axId val="148035776"/>
      </c:scatterChart>
      <c:valAx>
        <c:axId val="148036352"/>
        <c:scaling>
          <c:orientation val="minMax"/>
        </c:scaling>
        <c:delete val="0"/>
        <c:axPos val="b"/>
        <c:numFmt formatCode="0.0%" sourceLinked="1"/>
        <c:majorTickMark val="out"/>
        <c:minorTickMark val="none"/>
        <c:tickLblPos val="nextTo"/>
        <c:crossAx val="148035776"/>
        <c:crosses val="autoZero"/>
        <c:crossBetween val="midCat"/>
      </c:valAx>
      <c:valAx>
        <c:axId val="148035776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4803635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906780</xdr:colOff>
      <xdr:row>1</xdr:row>
      <xdr:rowOff>60960</xdr:rowOff>
    </xdr:from>
    <xdr:to>
      <xdr:col>17</xdr:col>
      <xdr:colOff>480060</xdr:colOff>
      <xdr:row>17</xdr:row>
      <xdr:rowOff>144780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B9C9920E-8AEA-B83C-3E1C-F79636DF2C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285750</xdr:colOff>
      <xdr:row>14</xdr:row>
      <xdr:rowOff>104775</xdr:rowOff>
    </xdr:from>
    <xdr:to>
      <xdr:col>8</xdr:col>
      <xdr:colOff>104775</xdr:colOff>
      <xdr:row>28</xdr:row>
      <xdr:rowOff>180975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23</xdr:row>
      <xdr:rowOff>114300</xdr:rowOff>
    </xdr:from>
    <xdr:to>
      <xdr:col>12</xdr:col>
      <xdr:colOff>333375</xdr:colOff>
      <xdr:row>42</xdr:row>
      <xdr:rowOff>19050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26</xdr:col>
      <xdr:colOff>85725</xdr:colOff>
      <xdr:row>16</xdr:row>
      <xdr:rowOff>142875</xdr:rowOff>
    </xdr:from>
    <xdr:to>
      <xdr:col>30</xdr:col>
      <xdr:colOff>92059</xdr:colOff>
      <xdr:row>18</xdr:row>
      <xdr:rowOff>42315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20625" y="3190875"/>
          <a:ext cx="2749534" cy="28044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0000000-0016-0000-0000-000000000000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Adj Close" tableColumnId="6"/>
      <queryTableField id="7" name="Volume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0000000-0016-0000-0100-000001000000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Adj Close" tableColumnId="6"/>
      <queryTableField id="7" name="Volume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000000-0016-0000-0200-000002000000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Adj Close" tableColumnId="6"/>
      <queryTableField id="7" name="Volume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300-000003000000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Adj Close" tableColumnId="6"/>
      <queryTableField id="7" name="Volum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KSPI_IL__1" displayName="KSPI_IL__1" ref="A1:G14" tableType="queryTable" totalsRowShown="0">
  <autoFilter ref="A1:G14" xr:uid="{00000000-0009-0000-0100-000001000000}"/>
  <tableColumns count="7">
    <tableColumn id="1" xr3:uid="{00000000-0010-0000-0000-000001000000}" uniqueName="1" name="Date" queryTableFieldId="1" dataDxfId="23"/>
    <tableColumn id="2" xr3:uid="{00000000-0010-0000-0000-000002000000}" uniqueName="2" name="Open" queryTableFieldId="2" dataDxfId="22"/>
    <tableColumn id="3" xr3:uid="{00000000-0010-0000-0000-000003000000}" uniqueName="3" name="High" queryTableFieldId="3" dataDxfId="21"/>
    <tableColumn id="4" xr3:uid="{00000000-0010-0000-0000-000004000000}" uniqueName="4" name="Low" queryTableFieldId="4" dataDxfId="20"/>
    <tableColumn id="5" xr3:uid="{00000000-0010-0000-0000-000005000000}" uniqueName="5" name="Close" queryTableFieldId="5" dataDxfId="19"/>
    <tableColumn id="6" xr3:uid="{00000000-0010-0000-0000-000006000000}" uniqueName="6" name="Adj Close" queryTableFieldId="6" dataDxfId="18"/>
    <tableColumn id="7" xr3:uid="{00000000-0010-0000-0000-000007000000}" uniqueName="7" name="Volume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HSBK_IL" displayName="HSBK_IL" ref="A1:G14" tableType="queryTable" totalsRowShown="0">
  <autoFilter ref="A1:G14" xr:uid="{00000000-0009-0000-0100-000002000000}"/>
  <tableColumns count="7">
    <tableColumn id="1" xr3:uid="{00000000-0010-0000-0100-000001000000}" uniqueName="1" name="Date" queryTableFieldId="1" dataDxfId="17"/>
    <tableColumn id="2" xr3:uid="{00000000-0010-0000-0100-000002000000}" uniqueName="2" name="Open" queryTableFieldId="2" dataDxfId="16"/>
    <tableColumn id="3" xr3:uid="{00000000-0010-0000-0100-000003000000}" uniqueName="3" name="High" queryTableFieldId="3" dataDxfId="15"/>
    <tableColumn id="4" xr3:uid="{00000000-0010-0000-0100-000004000000}" uniqueName="4" name="Low" queryTableFieldId="4" dataDxfId="14"/>
    <tableColumn id="5" xr3:uid="{00000000-0010-0000-0100-000005000000}" uniqueName="5" name="Close" queryTableFieldId="5" dataDxfId="13"/>
    <tableColumn id="6" xr3:uid="{00000000-0010-0000-0100-000006000000}" uniqueName="6" name="Adj Close" queryTableFieldId="6" dataDxfId="12"/>
    <tableColumn id="7" xr3:uid="{00000000-0010-0000-0100-000007000000}" uniqueName="7" name="Volume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TC_USD" displayName="BTC_USD" ref="A1:G13" tableType="queryTable" totalsRowShown="0">
  <autoFilter ref="A1:G13" xr:uid="{00000000-0009-0000-0100-000003000000}"/>
  <tableColumns count="7">
    <tableColumn id="1" xr3:uid="{00000000-0010-0000-0200-000001000000}" uniqueName="1" name="Date" queryTableFieldId="1" dataDxfId="11"/>
    <tableColumn id="2" xr3:uid="{00000000-0010-0000-0200-000002000000}" uniqueName="2" name="Open" queryTableFieldId="2" dataDxfId="10"/>
    <tableColumn id="3" xr3:uid="{00000000-0010-0000-0200-000003000000}" uniqueName="3" name="High" queryTableFieldId="3" dataDxfId="9"/>
    <tableColumn id="4" xr3:uid="{00000000-0010-0000-0200-000004000000}" uniqueName="4" name="Low" queryTableFieldId="4" dataDxfId="8"/>
    <tableColumn id="5" xr3:uid="{00000000-0010-0000-0200-000005000000}" uniqueName="5" name="Close" queryTableFieldId="5" dataDxfId="7"/>
    <tableColumn id="6" xr3:uid="{00000000-0010-0000-0200-000006000000}" uniqueName="6" name="Adj Close" queryTableFieldId="6" dataDxfId="6"/>
    <tableColumn id="7" xr3:uid="{00000000-0010-0000-0200-000007000000}" uniqueName="7" name="Volume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PX" displayName="SPX" ref="A1:G14" tableType="queryTable" totalsRowShown="0">
  <autoFilter ref="A1:G14" xr:uid="{00000000-0009-0000-0100-000004000000}"/>
  <tableColumns count="7">
    <tableColumn id="1" xr3:uid="{00000000-0010-0000-0300-000001000000}" uniqueName="1" name="Date" queryTableFieldId="1" dataDxfId="5"/>
    <tableColumn id="2" xr3:uid="{00000000-0010-0000-0300-000002000000}" uniqueName="2" name="Open" queryTableFieldId="2" dataDxfId="4"/>
    <tableColumn id="3" xr3:uid="{00000000-0010-0000-0300-000003000000}" uniqueName="3" name="High" queryTableFieldId="3" dataDxfId="3"/>
    <tableColumn id="4" xr3:uid="{00000000-0010-0000-0300-000004000000}" uniqueName="4" name="Low" queryTableFieldId="4" dataDxfId="2"/>
    <tableColumn id="5" xr3:uid="{00000000-0010-0000-0300-000005000000}" uniqueName="5" name="Close" queryTableFieldId="5" dataDxfId="1"/>
    <tableColumn id="6" xr3:uid="{00000000-0010-0000-0300-000006000000}" uniqueName="6" name="Adj Close" queryTableFieldId="6" dataDxfId="0"/>
    <tableColumn id="7" xr3:uid="{00000000-0010-0000-0300-000007000000}" uniqueName="7" name="Volum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workbookViewId="0">
      <selection activeCell="M15" sqref="M15"/>
    </sheetView>
  </sheetViews>
  <sheetFormatPr defaultRowHeight="14.45"/>
  <cols>
    <col min="1" max="1" width="10.140625" bestFit="1" customWidth="1"/>
    <col min="2" max="3" width="10.5703125" bestFit="1" customWidth="1"/>
    <col min="4" max="4" width="9.5703125" bestFit="1" customWidth="1"/>
    <col min="5" max="5" width="10.5703125" bestFit="1" customWidth="1"/>
    <col min="6" max="6" width="11.5703125" bestFit="1" customWidth="1"/>
    <col min="7" max="7" width="10.28515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44866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1024508</v>
      </c>
    </row>
    <row r="3" spans="1:7">
      <c r="A3" s="1">
        <v>44896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638961</v>
      </c>
    </row>
    <row r="4" spans="1:7">
      <c r="A4" s="1">
        <v>44927</v>
      </c>
      <c r="B4" t="s">
        <v>15</v>
      </c>
      <c r="C4" t="s">
        <v>17</v>
      </c>
      <c r="D4" t="s">
        <v>18</v>
      </c>
      <c r="E4" t="s">
        <v>19</v>
      </c>
      <c r="F4" t="s">
        <v>20</v>
      </c>
      <c r="G4">
        <v>814361</v>
      </c>
    </row>
    <row r="5" spans="1:7">
      <c r="A5" s="1">
        <v>44958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>
        <v>758141</v>
      </c>
    </row>
    <row r="6" spans="1:7">
      <c r="A6" s="1">
        <v>44986</v>
      </c>
      <c r="B6" t="s">
        <v>26</v>
      </c>
      <c r="C6" t="s">
        <v>26</v>
      </c>
      <c r="D6" t="s">
        <v>27</v>
      </c>
      <c r="E6" t="s">
        <v>28</v>
      </c>
      <c r="F6" t="s">
        <v>29</v>
      </c>
      <c r="G6">
        <v>444609</v>
      </c>
    </row>
    <row r="7" spans="1:7">
      <c r="A7" s="1">
        <v>45017</v>
      </c>
      <c r="B7" t="s">
        <v>30</v>
      </c>
      <c r="C7" t="s">
        <v>31</v>
      </c>
      <c r="D7" t="s">
        <v>27</v>
      </c>
      <c r="E7" t="s">
        <v>13</v>
      </c>
      <c r="F7" t="s">
        <v>32</v>
      </c>
      <c r="G7">
        <v>2005533</v>
      </c>
    </row>
    <row r="8" spans="1:7">
      <c r="A8" s="1">
        <v>45047</v>
      </c>
      <c r="B8" t="s">
        <v>13</v>
      </c>
      <c r="C8" t="s">
        <v>33</v>
      </c>
      <c r="D8" t="s">
        <v>34</v>
      </c>
      <c r="E8" t="s">
        <v>35</v>
      </c>
      <c r="F8" t="s">
        <v>36</v>
      </c>
      <c r="G8">
        <v>665485</v>
      </c>
    </row>
    <row r="9" spans="1:7">
      <c r="A9" s="1">
        <v>45078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>
        <v>413709</v>
      </c>
    </row>
    <row r="10" spans="1:7">
      <c r="A10" s="1">
        <v>45108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>
        <v>443219</v>
      </c>
    </row>
    <row r="11" spans="1:7">
      <c r="A11" s="1">
        <v>45139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>
        <v>590605</v>
      </c>
    </row>
    <row r="12" spans="1:7">
      <c r="A12" s="1">
        <v>45170</v>
      </c>
      <c r="B12" t="s">
        <v>50</v>
      </c>
      <c r="C12" t="s">
        <v>52</v>
      </c>
      <c r="D12" t="s">
        <v>53</v>
      </c>
      <c r="E12" t="s">
        <v>54</v>
      </c>
      <c r="F12" t="s">
        <v>54</v>
      </c>
      <c r="G12">
        <v>635188</v>
      </c>
    </row>
    <row r="13" spans="1:7">
      <c r="A13" s="1">
        <v>45200</v>
      </c>
      <c r="B13" t="s">
        <v>55</v>
      </c>
      <c r="C13" t="s">
        <v>56</v>
      </c>
      <c r="D13" t="s">
        <v>57</v>
      </c>
      <c r="E13" t="s">
        <v>53</v>
      </c>
      <c r="F13" t="s">
        <v>53</v>
      </c>
      <c r="G13">
        <v>145762</v>
      </c>
    </row>
    <row r="14" spans="1:7">
      <c r="A14" s="1">
        <v>45205</v>
      </c>
      <c r="B14" t="s">
        <v>58</v>
      </c>
      <c r="C14" t="s">
        <v>58</v>
      </c>
      <c r="D14" t="s">
        <v>58</v>
      </c>
      <c r="E14" t="s">
        <v>59</v>
      </c>
      <c r="F14" t="s">
        <v>59</v>
      </c>
      <c r="G14">
        <v>100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workbookViewId="0">
      <selection activeCell="F1" sqref="F1:F1048576"/>
    </sheetView>
  </sheetViews>
  <sheetFormatPr defaultRowHeight="14.45"/>
  <cols>
    <col min="1" max="1" width="10.140625" bestFit="1" customWidth="1"/>
    <col min="2" max="5" width="9.5703125" bestFit="1" customWidth="1"/>
    <col min="6" max="6" width="11.5703125" bestFit="1" customWidth="1"/>
    <col min="7" max="7" width="10.28515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44866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1511001</v>
      </c>
    </row>
    <row r="3" spans="1:7">
      <c r="A3" s="1">
        <v>44896</v>
      </c>
      <c r="B3" t="s">
        <v>65</v>
      </c>
      <c r="C3" t="s">
        <v>66</v>
      </c>
      <c r="D3" t="s">
        <v>67</v>
      </c>
      <c r="E3" t="s">
        <v>68</v>
      </c>
      <c r="F3" t="s">
        <v>69</v>
      </c>
      <c r="G3">
        <v>686134</v>
      </c>
    </row>
    <row r="4" spans="1:7">
      <c r="A4" s="1">
        <v>44927</v>
      </c>
      <c r="B4" t="s">
        <v>70</v>
      </c>
      <c r="C4" t="s">
        <v>66</v>
      </c>
      <c r="D4" t="s">
        <v>71</v>
      </c>
      <c r="E4" t="s">
        <v>72</v>
      </c>
      <c r="F4" t="s">
        <v>73</v>
      </c>
      <c r="G4">
        <v>1927399</v>
      </c>
    </row>
    <row r="5" spans="1:7">
      <c r="A5" s="1">
        <v>44958</v>
      </c>
      <c r="B5" t="s">
        <v>74</v>
      </c>
      <c r="C5" t="s">
        <v>75</v>
      </c>
      <c r="D5" t="s">
        <v>76</v>
      </c>
      <c r="E5" t="s">
        <v>77</v>
      </c>
      <c r="F5" t="s">
        <v>78</v>
      </c>
      <c r="G5">
        <v>780414</v>
      </c>
    </row>
    <row r="6" spans="1:7">
      <c r="A6" s="1">
        <v>44986</v>
      </c>
      <c r="B6" t="s">
        <v>79</v>
      </c>
      <c r="C6" t="s">
        <v>80</v>
      </c>
      <c r="D6" t="s">
        <v>81</v>
      </c>
      <c r="E6" t="s">
        <v>82</v>
      </c>
      <c r="F6" t="s">
        <v>83</v>
      </c>
      <c r="G6">
        <v>946197</v>
      </c>
    </row>
    <row r="7" spans="1:7">
      <c r="A7" s="1">
        <v>45017</v>
      </c>
      <c r="B7" t="s">
        <v>82</v>
      </c>
      <c r="C7" t="s">
        <v>84</v>
      </c>
      <c r="D7" t="s">
        <v>85</v>
      </c>
      <c r="E7" t="s">
        <v>84</v>
      </c>
      <c r="F7" t="s">
        <v>86</v>
      </c>
      <c r="G7">
        <v>942763</v>
      </c>
    </row>
    <row r="8" spans="1:7">
      <c r="A8" s="1">
        <v>45047</v>
      </c>
      <c r="B8" t="s">
        <v>87</v>
      </c>
      <c r="C8" t="s">
        <v>88</v>
      </c>
      <c r="D8" t="s">
        <v>89</v>
      </c>
      <c r="E8" t="s">
        <v>90</v>
      </c>
      <c r="F8" t="s">
        <v>91</v>
      </c>
      <c r="G8">
        <v>1055777</v>
      </c>
    </row>
    <row r="9" spans="1:7">
      <c r="A9" s="1">
        <v>45078</v>
      </c>
      <c r="B9" t="s">
        <v>92</v>
      </c>
      <c r="C9" t="s">
        <v>93</v>
      </c>
      <c r="D9" t="s">
        <v>94</v>
      </c>
      <c r="E9" t="s">
        <v>95</v>
      </c>
      <c r="F9" t="s">
        <v>95</v>
      </c>
      <c r="G9">
        <v>960853</v>
      </c>
    </row>
    <row r="10" spans="1:7">
      <c r="A10" s="1">
        <v>45108</v>
      </c>
      <c r="B10" t="s">
        <v>96</v>
      </c>
      <c r="C10" t="s">
        <v>97</v>
      </c>
      <c r="D10" t="s">
        <v>98</v>
      </c>
      <c r="E10" t="s">
        <v>99</v>
      </c>
      <c r="F10" t="s">
        <v>99</v>
      </c>
      <c r="G10">
        <v>1125847</v>
      </c>
    </row>
    <row r="11" spans="1:7">
      <c r="A11" s="1">
        <v>45139</v>
      </c>
      <c r="B11" t="s">
        <v>100</v>
      </c>
      <c r="C11" t="s">
        <v>101</v>
      </c>
      <c r="D11" t="s">
        <v>102</v>
      </c>
      <c r="E11" t="s">
        <v>103</v>
      </c>
      <c r="F11" t="s">
        <v>103</v>
      </c>
      <c r="G11">
        <v>1118316</v>
      </c>
    </row>
    <row r="12" spans="1:7">
      <c r="A12" s="1">
        <v>45170</v>
      </c>
      <c r="B12" t="s">
        <v>104</v>
      </c>
      <c r="C12" t="s">
        <v>104</v>
      </c>
      <c r="D12" t="s">
        <v>105</v>
      </c>
      <c r="E12" t="s">
        <v>106</v>
      </c>
      <c r="F12" t="s">
        <v>106</v>
      </c>
      <c r="G12">
        <v>1064222</v>
      </c>
    </row>
    <row r="13" spans="1:7">
      <c r="A13" s="1">
        <v>45200</v>
      </c>
      <c r="B13" t="s">
        <v>107</v>
      </c>
      <c r="C13" t="s">
        <v>108</v>
      </c>
      <c r="D13" t="s">
        <v>109</v>
      </c>
      <c r="E13" t="s">
        <v>110</v>
      </c>
      <c r="F13" t="s">
        <v>110</v>
      </c>
      <c r="G13">
        <v>214265</v>
      </c>
    </row>
    <row r="14" spans="1:7">
      <c r="A14" s="1">
        <v>45205</v>
      </c>
      <c r="B14" t="s">
        <v>58</v>
      </c>
      <c r="C14" t="s">
        <v>58</v>
      </c>
      <c r="D14" t="s">
        <v>58</v>
      </c>
      <c r="E14" t="s">
        <v>110</v>
      </c>
      <c r="F14" t="s">
        <v>110</v>
      </c>
      <c r="G14">
        <v>1260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>
      <selection activeCell="F1" sqref="F1:F1048576"/>
    </sheetView>
  </sheetViews>
  <sheetFormatPr defaultRowHeight="14.45"/>
  <cols>
    <col min="1" max="1" width="10.140625" bestFit="1" customWidth="1"/>
    <col min="2" max="6" width="12.5703125" bestFit="1" customWidth="1"/>
    <col min="7" max="7" width="12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44866</v>
      </c>
      <c r="B2" t="s">
        <v>111</v>
      </c>
      <c r="C2" t="s">
        <v>112</v>
      </c>
      <c r="D2" t="s">
        <v>113</v>
      </c>
      <c r="E2" t="s">
        <v>114</v>
      </c>
      <c r="F2" t="s">
        <v>114</v>
      </c>
      <c r="G2">
        <v>1224531549126</v>
      </c>
    </row>
    <row r="3" spans="1:7">
      <c r="A3" s="1">
        <v>44896</v>
      </c>
      <c r="B3" t="s">
        <v>115</v>
      </c>
      <c r="C3" t="s">
        <v>116</v>
      </c>
      <c r="D3" t="s">
        <v>117</v>
      </c>
      <c r="E3" t="s">
        <v>118</v>
      </c>
      <c r="F3" t="s">
        <v>118</v>
      </c>
      <c r="G3">
        <v>541356716034</v>
      </c>
    </row>
    <row r="4" spans="1:7">
      <c r="A4" s="1">
        <v>44927</v>
      </c>
      <c r="B4" t="s">
        <v>119</v>
      </c>
      <c r="C4" t="s">
        <v>120</v>
      </c>
      <c r="D4" t="s">
        <v>121</v>
      </c>
      <c r="E4" t="s">
        <v>122</v>
      </c>
      <c r="F4" t="s">
        <v>122</v>
      </c>
      <c r="G4">
        <v>690994018045</v>
      </c>
    </row>
    <row r="5" spans="1:7">
      <c r="A5" s="1">
        <v>44958</v>
      </c>
      <c r="B5" t="s">
        <v>123</v>
      </c>
      <c r="C5" t="s">
        <v>124</v>
      </c>
      <c r="D5" t="s">
        <v>125</v>
      </c>
      <c r="E5" t="s">
        <v>126</v>
      </c>
      <c r="F5" t="s">
        <v>126</v>
      </c>
      <c r="G5">
        <v>723968574897</v>
      </c>
    </row>
    <row r="6" spans="1:7">
      <c r="A6" s="1">
        <v>44986</v>
      </c>
      <c r="B6" t="s">
        <v>127</v>
      </c>
      <c r="C6" t="s">
        <v>128</v>
      </c>
      <c r="D6" t="s">
        <v>129</v>
      </c>
      <c r="E6" t="s">
        <v>130</v>
      </c>
      <c r="F6" t="s">
        <v>130</v>
      </c>
      <c r="G6">
        <v>883299703608</v>
      </c>
    </row>
    <row r="7" spans="1:7">
      <c r="A7" s="1">
        <v>45017</v>
      </c>
      <c r="B7" t="s">
        <v>131</v>
      </c>
      <c r="C7" t="s">
        <v>132</v>
      </c>
      <c r="D7" t="s">
        <v>133</v>
      </c>
      <c r="E7" t="s">
        <v>134</v>
      </c>
      <c r="F7" t="s">
        <v>134</v>
      </c>
      <c r="G7">
        <v>511540319004</v>
      </c>
    </row>
    <row r="8" spans="1:7">
      <c r="A8" s="1">
        <v>45047</v>
      </c>
      <c r="B8" t="s">
        <v>135</v>
      </c>
      <c r="C8" t="s">
        <v>136</v>
      </c>
      <c r="D8" t="s">
        <v>137</v>
      </c>
      <c r="E8" t="s">
        <v>138</v>
      </c>
      <c r="F8" t="s">
        <v>138</v>
      </c>
      <c r="G8">
        <v>443473015479</v>
      </c>
    </row>
    <row r="9" spans="1:7">
      <c r="A9" s="1">
        <v>45078</v>
      </c>
      <c r="B9" t="s">
        <v>139</v>
      </c>
      <c r="C9" t="s">
        <v>140</v>
      </c>
      <c r="D9" t="s">
        <v>141</v>
      </c>
      <c r="E9" t="s">
        <v>142</v>
      </c>
      <c r="F9" t="s">
        <v>142</v>
      </c>
      <c r="G9">
        <v>481734214225</v>
      </c>
    </row>
    <row r="10" spans="1:7">
      <c r="A10" s="1">
        <v>45108</v>
      </c>
      <c r="B10" t="s">
        <v>143</v>
      </c>
      <c r="C10" t="s">
        <v>144</v>
      </c>
      <c r="D10" t="s">
        <v>145</v>
      </c>
      <c r="E10" t="s">
        <v>146</v>
      </c>
      <c r="F10" t="s">
        <v>146</v>
      </c>
      <c r="G10">
        <v>382224489090</v>
      </c>
    </row>
    <row r="11" spans="1:7">
      <c r="A11" s="1">
        <v>45139</v>
      </c>
      <c r="B11" t="s">
        <v>147</v>
      </c>
      <c r="C11" t="s">
        <v>148</v>
      </c>
      <c r="D11" t="s">
        <v>149</v>
      </c>
      <c r="E11" t="s">
        <v>150</v>
      </c>
      <c r="F11" t="s">
        <v>150</v>
      </c>
      <c r="G11">
        <v>437724169499</v>
      </c>
    </row>
    <row r="12" spans="1:7">
      <c r="A12" s="1">
        <v>45170</v>
      </c>
      <c r="B12" t="s">
        <v>151</v>
      </c>
      <c r="C12" t="s">
        <v>152</v>
      </c>
      <c r="D12" t="s">
        <v>153</v>
      </c>
      <c r="E12" t="s">
        <v>154</v>
      </c>
      <c r="F12" t="s">
        <v>154</v>
      </c>
      <c r="G12">
        <v>337637313742</v>
      </c>
    </row>
    <row r="13" spans="1:7">
      <c r="A13" s="1">
        <v>45200</v>
      </c>
      <c r="B13" t="s">
        <v>155</v>
      </c>
      <c r="C13" t="s">
        <v>156</v>
      </c>
      <c r="D13" t="s">
        <v>157</v>
      </c>
      <c r="E13" t="s">
        <v>158</v>
      </c>
      <c r="F13" t="s">
        <v>158</v>
      </c>
      <c r="G13">
        <v>77217773526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"/>
  <sheetViews>
    <sheetView workbookViewId="0">
      <selection activeCell="F1" sqref="F1:F1048576"/>
    </sheetView>
  </sheetViews>
  <sheetFormatPr defaultRowHeight="14.45"/>
  <cols>
    <col min="1" max="1" width="10.140625" bestFit="1" customWidth="1"/>
    <col min="2" max="6" width="11.5703125" bestFit="1" customWidth="1"/>
    <col min="7" max="7" width="12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44866</v>
      </c>
      <c r="B2" t="s">
        <v>159</v>
      </c>
      <c r="C2" t="s">
        <v>160</v>
      </c>
      <c r="D2" t="s">
        <v>161</v>
      </c>
      <c r="E2" t="s">
        <v>160</v>
      </c>
      <c r="F2" t="s">
        <v>160</v>
      </c>
      <c r="G2">
        <v>92671910000</v>
      </c>
    </row>
    <row r="3" spans="1:7">
      <c r="A3" s="1">
        <v>44896</v>
      </c>
      <c r="B3" t="s">
        <v>162</v>
      </c>
      <c r="C3" t="s">
        <v>163</v>
      </c>
      <c r="D3" t="s">
        <v>164</v>
      </c>
      <c r="E3" t="s">
        <v>165</v>
      </c>
      <c r="F3" t="s">
        <v>165</v>
      </c>
      <c r="G3">
        <v>85249330000</v>
      </c>
    </row>
    <row r="4" spans="1:7">
      <c r="A4" s="1">
        <v>44927</v>
      </c>
      <c r="B4" t="s">
        <v>166</v>
      </c>
      <c r="C4" t="s">
        <v>167</v>
      </c>
      <c r="D4" t="s">
        <v>168</v>
      </c>
      <c r="E4" t="s">
        <v>169</v>
      </c>
      <c r="F4" t="s">
        <v>169</v>
      </c>
      <c r="G4">
        <v>80763810000</v>
      </c>
    </row>
    <row r="5" spans="1:7">
      <c r="A5" s="1">
        <v>44958</v>
      </c>
      <c r="B5" t="s">
        <v>170</v>
      </c>
      <c r="C5" t="s">
        <v>171</v>
      </c>
      <c r="D5" t="s">
        <v>172</v>
      </c>
      <c r="E5" t="s">
        <v>173</v>
      </c>
      <c r="F5" t="s">
        <v>173</v>
      </c>
      <c r="G5">
        <v>80392280000</v>
      </c>
    </row>
    <row r="6" spans="1:7">
      <c r="A6" s="1">
        <v>44986</v>
      </c>
      <c r="B6" t="s">
        <v>174</v>
      </c>
      <c r="C6" t="s">
        <v>175</v>
      </c>
      <c r="D6" t="s">
        <v>176</v>
      </c>
      <c r="E6" t="s">
        <v>177</v>
      </c>
      <c r="F6" t="s">
        <v>177</v>
      </c>
      <c r="G6">
        <v>113094800000</v>
      </c>
    </row>
    <row r="7" spans="1:7">
      <c r="A7" s="1">
        <v>45017</v>
      </c>
      <c r="B7" t="s">
        <v>178</v>
      </c>
      <c r="C7" t="s">
        <v>179</v>
      </c>
      <c r="D7" t="s">
        <v>180</v>
      </c>
      <c r="E7" t="s">
        <v>181</v>
      </c>
      <c r="F7" t="s">
        <v>181</v>
      </c>
      <c r="G7">
        <v>70861260000</v>
      </c>
    </row>
    <row r="8" spans="1:7">
      <c r="A8" s="1">
        <v>45047</v>
      </c>
      <c r="B8" t="s">
        <v>182</v>
      </c>
      <c r="C8" t="s">
        <v>183</v>
      </c>
      <c r="D8" t="s">
        <v>184</v>
      </c>
      <c r="E8" t="s">
        <v>185</v>
      </c>
      <c r="F8" t="s">
        <v>185</v>
      </c>
      <c r="G8">
        <v>88929200000</v>
      </c>
    </row>
    <row r="9" spans="1:7">
      <c r="A9" s="1">
        <v>45078</v>
      </c>
      <c r="B9" t="s">
        <v>186</v>
      </c>
      <c r="C9" t="s">
        <v>187</v>
      </c>
      <c r="D9" t="s">
        <v>188</v>
      </c>
      <c r="E9" t="s">
        <v>189</v>
      </c>
      <c r="F9" t="s">
        <v>189</v>
      </c>
      <c r="G9">
        <v>87983140000</v>
      </c>
    </row>
    <row r="10" spans="1:7">
      <c r="A10" s="1">
        <v>45108</v>
      </c>
      <c r="B10" t="s">
        <v>190</v>
      </c>
      <c r="C10" t="s">
        <v>191</v>
      </c>
      <c r="D10" t="s">
        <v>192</v>
      </c>
      <c r="E10" t="s">
        <v>193</v>
      </c>
      <c r="F10" t="s">
        <v>193</v>
      </c>
      <c r="G10">
        <v>75063200000</v>
      </c>
    </row>
    <row r="11" spans="1:7">
      <c r="A11" s="1">
        <v>45139</v>
      </c>
      <c r="B11" t="s">
        <v>194</v>
      </c>
      <c r="C11" t="s">
        <v>195</v>
      </c>
      <c r="D11" t="s">
        <v>196</v>
      </c>
      <c r="E11" t="s">
        <v>197</v>
      </c>
      <c r="F11" t="s">
        <v>197</v>
      </c>
      <c r="G11">
        <v>86840820000</v>
      </c>
    </row>
    <row r="12" spans="1:7">
      <c r="A12" s="1">
        <v>45170</v>
      </c>
      <c r="B12" t="s">
        <v>198</v>
      </c>
      <c r="C12" t="s">
        <v>199</v>
      </c>
      <c r="D12" t="s">
        <v>200</v>
      </c>
      <c r="E12" t="s">
        <v>201</v>
      </c>
      <c r="F12" t="s">
        <v>201</v>
      </c>
      <c r="G12">
        <v>73482980000</v>
      </c>
    </row>
    <row r="13" spans="1:7">
      <c r="A13" s="1">
        <v>45200</v>
      </c>
      <c r="B13" t="s">
        <v>202</v>
      </c>
      <c r="C13" t="s">
        <v>203</v>
      </c>
      <c r="D13" t="s">
        <v>204</v>
      </c>
      <c r="E13" t="s">
        <v>205</v>
      </c>
      <c r="F13" t="s">
        <v>205</v>
      </c>
      <c r="G13">
        <v>19153590000</v>
      </c>
    </row>
    <row r="14" spans="1:7">
      <c r="A14" s="1">
        <v>45205</v>
      </c>
      <c r="B14" t="s">
        <v>58</v>
      </c>
      <c r="C14" t="s">
        <v>58</v>
      </c>
      <c r="D14" t="s">
        <v>58</v>
      </c>
      <c r="E14" t="s">
        <v>205</v>
      </c>
      <c r="F14" t="s">
        <v>205</v>
      </c>
      <c r="G14">
        <v>2498932532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3"/>
  <sheetViews>
    <sheetView workbookViewId="0">
      <selection activeCell="K20" sqref="K20"/>
    </sheetView>
  </sheetViews>
  <sheetFormatPr defaultRowHeight="14.45"/>
  <cols>
    <col min="2" max="2" width="17.5703125" style="5" bestFit="1" customWidth="1"/>
    <col min="3" max="3" width="11.5703125" style="5" bestFit="1" customWidth="1"/>
    <col min="4" max="4" width="11.5703125" style="5" customWidth="1"/>
    <col min="5" max="5" width="11.5703125" style="5" bestFit="1" customWidth="1"/>
    <col min="6" max="6" width="11.5703125" style="5" customWidth="1"/>
    <col min="7" max="7" width="12.5703125" style="5" bestFit="1" customWidth="1"/>
    <col min="8" max="8" width="12.5703125" style="5" customWidth="1"/>
    <col min="9" max="9" width="11.5703125" style="5" bestFit="1" customWidth="1"/>
    <col min="12" max="12" width="11.85546875" customWidth="1"/>
    <col min="13" max="13" width="24.28515625" customWidth="1"/>
    <col min="14" max="14" width="12.7109375" bestFit="1" customWidth="1"/>
  </cols>
  <sheetData>
    <row r="1" spans="2:14" ht="15" thickBot="1">
      <c r="B1" s="4" t="s">
        <v>0</v>
      </c>
      <c r="C1" s="14" t="s">
        <v>206</v>
      </c>
      <c r="D1" s="14" t="s">
        <v>207</v>
      </c>
      <c r="E1" s="15" t="s">
        <v>208</v>
      </c>
      <c r="F1" s="15" t="s">
        <v>207</v>
      </c>
      <c r="G1" s="16" t="s">
        <v>209</v>
      </c>
      <c r="H1" s="16" t="s">
        <v>207</v>
      </c>
      <c r="I1" s="9" t="s">
        <v>210</v>
      </c>
      <c r="J1" s="10" t="s">
        <v>207</v>
      </c>
    </row>
    <row r="2" spans="2:14">
      <c r="B2" s="13">
        <v>44866</v>
      </c>
      <c r="C2" s="6">
        <v>71.062820000000002</v>
      </c>
      <c r="D2" s="6"/>
      <c r="E2" s="6">
        <v>8.9820489999999999</v>
      </c>
      <c r="F2" s="6"/>
      <c r="G2" s="6">
        <v>17168.566406000002</v>
      </c>
      <c r="H2" s="6"/>
      <c r="I2" s="6">
        <v>4080.110107</v>
      </c>
      <c r="M2" s="22" t="s">
        <v>211</v>
      </c>
      <c r="N2" s="22"/>
    </row>
    <row r="3" spans="2:14">
      <c r="B3" s="13">
        <v>44896</v>
      </c>
      <c r="C3" s="6">
        <v>68.160454000000001</v>
      </c>
      <c r="D3" s="8">
        <f>(C3-C2)/C2</f>
        <v>-4.0842257596869935E-2</v>
      </c>
      <c r="E3" s="6">
        <v>9.3178269999999994</v>
      </c>
      <c r="F3" s="8">
        <f>(E3-E2)/E2</f>
        <v>3.7383229594939803E-2</v>
      </c>
      <c r="G3" s="6">
        <v>16547.496093999998</v>
      </c>
      <c r="H3" s="8">
        <f>(G3-G2)/G2</f>
        <v>-3.617484985717586E-2</v>
      </c>
      <c r="I3" s="6">
        <v>3839.5</v>
      </c>
      <c r="J3" s="8">
        <f>(I3-I2)/I2</f>
        <v>-5.8971473977430085E-2</v>
      </c>
    </row>
    <row r="4" spans="2:14">
      <c r="B4" s="13">
        <v>44927</v>
      </c>
      <c r="C4" s="6">
        <v>69.876380999999995</v>
      </c>
      <c r="D4" s="8">
        <f t="shared" ref="D4:F13" si="0">(C4-C3)/C3</f>
        <v>2.5174817644260314E-2</v>
      </c>
      <c r="E4" s="6">
        <v>8.7302160000000004</v>
      </c>
      <c r="F4" s="8">
        <f t="shared" si="0"/>
        <v>-6.3063094002496406E-2</v>
      </c>
      <c r="G4" s="6">
        <v>23139.283202999999</v>
      </c>
      <c r="H4" s="8">
        <f t="shared" ref="H4:J4" si="1">(G4-G3)/G3</f>
        <v>0.39835556216811163</v>
      </c>
      <c r="I4" s="6">
        <v>4076.6000979999999</v>
      </c>
      <c r="J4" s="8">
        <f t="shared" si="1"/>
        <v>6.175285792420885E-2</v>
      </c>
      <c r="M4" t="s">
        <v>212</v>
      </c>
      <c r="N4">
        <v>2.5612356893247566E-2</v>
      </c>
    </row>
    <row r="5" spans="2:14">
      <c r="B5" s="13">
        <v>44958</v>
      </c>
      <c r="C5" s="6">
        <v>70.924994999999996</v>
      </c>
      <c r="D5" s="8">
        <f t="shared" si="0"/>
        <v>1.5006701620680679E-2</v>
      </c>
      <c r="E5" s="6">
        <v>9.4017719999999994</v>
      </c>
      <c r="F5" s="8">
        <f t="shared" si="0"/>
        <v>7.6923182656648922E-2</v>
      </c>
      <c r="G5" s="6">
        <v>23147.353515999999</v>
      </c>
      <c r="H5" s="8">
        <f t="shared" ref="H5:J5" si="2">(G5-G4)/G4</f>
        <v>3.487710889399485E-4</v>
      </c>
      <c r="I5" s="6">
        <v>3970.1499020000001</v>
      </c>
      <c r="J5" s="8">
        <f t="shared" si="2"/>
        <v>-2.6112494098262121E-2</v>
      </c>
      <c r="L5">
        <f>N8/SQRT(N16)</f>
        <v>1.9792168410296782E-2</v>
      </c>
      <c r="M5" t="s">
        <v>213</v>
      </c>
      <c r="N5">
        <v>1.9792168410296782E-2</v>
      </c>
    </row>
    <row r="6" spans="2:14">
      <c r="B6" s="13">
        <v>44986</v>
      </c>
      <c r="C6" s="6">
        <v>71.973624999999998</v>
      </c>
      <c r="D6" s="8">
        <f t="shared" si="0"/>
        <v>1.4785055677480173E-2</v>
      </c>
      <c r="E6" s="6">
        <v>9.7039720000000003</v>
      </c>
      <c r="F6" s="8">
        <f t="shared" si="0"/>
        <v>3.2142876895972478E-2</v>
      </c>
      <c r="G6" s="6">
        <v>28478.484375</v>
      </c>
      <c r="H6" s="8">
        <f t="shared" ref="H6:J6" si="3">(G6-G5)/G5</f>
        <v>0.23031275931025968</v>
      </c>
      <c r="I6" s="6">
        <v>4109.3100590000004</v>
      </c>
      <c r="J6" s="8">
        <f t="shared" si="3"/>
        <v>3.5051612769053636E-2</v>
      </c>
      <c r="M6" t="s">
        <v>214</v>
      </c>
      <c r="N6">
        <v>1.4785055677480173E-2</v>
      </c>
    </row>
    <row r="7" spans="2:14">
      <c r="B7" s="13">
        <v>45017</v>
      </c>
      <c r="C7" s="6">
        <v>78.646675000000002</v>
      </c>
      <c r="D7" s="8">
        <f t="shared" si="0"/>
        <v>9.2715213385458961E-2</v>
      </c>
      <c r="E7" s="6">
        <v>11.248548</v>
      </c>
      <c r="F7" s="8">
        <f t="shared" si="0"/>
        <v>0.15916946174205771</v>
      </c>
      <c r="G7" s="6">
        <v>29268.806640999999</v>
      </c>
      <c r="H7" s="8">
        <f t="shared" ref="H7:J7" si="4">(G7-G6)/G6</f>
        <v>2.775155642390113E-2</v>
      </c>
      <c r="I7" s="6">
        <v>4169.4799800000001</v>
      </c>
      <c r="J7" s="8">
        <f t="shared" si="4"/>
        <v>1.4642341448102371E-2</v>
      </c>
      <c r="M7" t="s">
        <v>215</v>
      </c>
      <c r="N7" t="e">
        <v>#N/A</v>
      </c>
    </row>
    <row r="8" spans="2:14">
      <c r="B8" s="13">
        <v>45047</v>
      </c>
      <c r="C8" s="6">
        <v>77.623649999999998</v>
      </c>
      <c r="D8" s="8">
        <f t="shared" si="0"/>
        <v>-1.3007860790046165E-2</v>
      </c>
      <c r="E8" s="6">
        <v>10.778460000000001</v>
      </c>
      <c r="F8" s="8">
        <f t="shared" si="0"/>
        <v>-4.1790993824269478E-2</v>
      </c>
      <c r="G8" s="6">
        <v>27219.658202999999</v>
      </c>
      <c r="H8" s="8">
        <f t="shared" ref="H8:J8" si="5">(G8-G7)/G7</f>
        <v>-7.0011342216103042E-2</v>
      </c>
      <c r="I8" s="6">
        <v>4179.830078</v>
      </c>
      <c r="J8" s="8">
        <f t="shared" si="5"/>
        <v>2.4823474509163826E-3</v>
      </c>
      <c r="M8" t="s">
        <v>216</v>
      </c>
      <c r="N8">
        <v>6.5643196404479326E-2</v>
      </c>
    </row>
    <row r="9" spans="2:14">
      <c r="B9" s="13">
        <v>45078</v>
      </c>
      <c r="C9" s="6">
        <v>78.213195999999996</v>
      </c>
      <c r="D9" s="8">
        <f t="shared" si="0"/>
        <v>7.5949275768402878E-3</v>
      </c>
      <c r="E9" s="6">
        <v>14.04</v>
      </c>
      <c r="F9" s="8">
        <f t="shared" si="0"/>
        <v>0.30259795926319699</v>
      </c>
      <c r="G9" s="6">
        <v>30477.251952999999</v>
      </c>
      <c r="H9" s="8">
        <f t="shared" ref="H9:J9" si="6">(G9-G8)/G8</f>
        <v>0.11967798146859045</v>
      </c>
      <c r="I9" s="6">
        <v>4450.3798829999996</v>
      </c>
      <c r="J9" s="8">
        <f t="shared" si="6"/>
        <v>6.4727464980933999E-2</v>
      </c>
      <c r="M9" t="s">
        <v>217</v>
      </c>
      <c r="N9">
        <v>4.3090292341970479E-3</v>
      </c>
    </row>
    <row r="10" spans="2:14">
      <c r="B10" s="13">
        <v>45108</v>
      </c>
      <c r="C10" s="6">
        <v>90.102385999999996</v>
      </c>
      <c r="D10" s="8">
        <f t="shared" si="0"/>
        <v>0.15201002654334697</v>
      </c>
      <c r="E10" s="6">
        <v>14.32</v>
      </c>
      <c r="F10" s="8">
        <f t="shared" si="0"/>
        <v>1.9943019943020026E-2</v>
      </c>
      <c r="G10" s="6">
        <v>29230.111327999999</v>
      </c>
      <c r="H10" s="8">
        <f t="shared" ref="H10:J10" si="7">(G10-G9)/G9</f>
        <v>-4.0920376513054975E-2</v>
      </c>
      <c r="I10" s="6">
        <v>4588.9599609999996</v>
      </c>
      <c r="J10" s="8">
        <f t="shared" si="7"/>
        <v>3.1138932325611532E-2</v>
      </c>
      <c r="M10" t="s">
        <v>218</v>
      </c>
      <c r="N10">
        <v>-0.29985312853065604</v>
      </c>
    </row>
    <row r="11" spans="2:14">
      <c r="B11" s="13">
        <v>45139</v>
      </c>
      <c r="C11" s="6">
        <v>100.026428</v>
      </c>
      <c r="D11" s="8">
        <f t="shared" si="0"/>
        <v>0.11014183353590659</v>
      </c>
      <c r="E11" s="6">
        <v>15</v>
      </c>
      <c r="F11" s="8">
        <f t="shared" si="0"/>
        <v>4.748603351955305E-2</v>
      </c>
      <c r="G11" s="6">
        <v>25931.472656000002</v>
      </c>
      <c r="H11" s="8">
        <f t="shared" ref="H11:J11" si="8">(G11-G10)/G10</f>
        <v>-0.11285070504812542</v>
      </c>
      <c r="I11" s="6">
        <v>4507.6601559999999</v>
      </c>
      <c r="J11" s="8">
        <f t="shared" si="8"/>
        <v>-1.7716390138710923E-2</v>
      </c>
      <c r="M11" t="s">
        <v>219</v>
      </c>
      <c r="N11">
        <v>0.84133065636143656</v>
      </c>
    </row>
    <row r="12" spans="2:14">
      <c r="B12" s="13">
        <v>45170</v>
      </c>
      <c r="C12" s="6">
        <v>96.800003000000004</v>
      </c>
      <c r="D12" s="8">
        <f t="shared" si="0"/>
        <v>-3.2255725456876175E-2</v>
      </c>
      <c r="E12" s="6">
        <v>13.34</v>
      </c>
      <c r="F12" s="8">
        <f t="shared" si="0"/>
        <v>-0.11066666666666668</v>
      </c>
      <c r="G12" s="6">
        <v>26967.916015999999</v>
      </c>
      <c r="H12" s="8">
        <f t="shared" ref="H12:J12" si="9">(G12-G11)/G11</f>
        <v>3.9968549945048573E-2</v>
      </c>
      <c r="I12" s="6">
        <v>4288.0498049999997</v>
      </c>
      <c r="J12" s="8">
        <f t="shared" si="9"/>
        <v>-4.8719367343539433E-2</v>
      </c>
      <c r="M12" t="s">
        <v>220</v>
      </c>
      <c r="N12">
        <v>0.2015968328578055</v>
      </c>
    </row>
    <row r="13" spans="2:14">
      <c r="B13" s="13">
        <v>45200</v>
      </c>
      <c r="C13" s="6">
        <v>92</v>
      </c>
      <c r="D13" s="8">
        <f t="shared" si="0"/>
        <v>-4.9586806314458519E-2</v>
      </c>
      <c r="E13" s="6">
        <v>12.64</v>
      </c>
      <c r="F13" s="8">
        <f t="shared" si="0"/>
        <v>-5.2473763118440729E-2</v>
      </c>
      <c r="G13" s="6">
        <v>27946.597656000002</v>
      </c>
      <c r="H13" s="8">
        <f t="shared" ref="H13:J13" si="10">(G13-G12)/G12</f>
        <v>3.6290592102828895E-2</v>
      </c>
      <c r="I13" s="6">
        <v>4308.5</v>
      </c>
      <c r="J13" s="8">
        <f t="shared" si="10"/>
        <v>4.7691132169581573E-3</v>
      </c>
      <c r="M13" t="s">
        <v>221</v>
      </c>
      <c r="N13">
        <v>-4.9586806314458519E-2</v>
      </c>
    </row>
    <row r="14" spans="2:14">
      <c r="M14" t="s">
        <v>222</v>
      </c>
      <c r="N14">
        <v>0.15201002654334697</v>
      </c>
    </row>
    <row r="15" spans="2:14">
      <c r="B15" s="31" t="s">
        <v>223</v>
      </c>
      <c r="D15" s="11">
        <f>AVERAGE(D3:D13)</f>
        <v>2.5612356893247566E-2</v>
      </c>
      <c r="E15" s="4"/>
      <c r="F15" s="11">
        <f>AVERAGE(F3:F13)</f>
        <v>3.7059204182137789E-2</v>
      </c>
      <c r="G15" s="4"/>
      <c r="H15" s="11">
        <f>AVERAGE(H3:H13)</f>
        <v>5.3886227170292816E-2</v>
      </c>
      <c r="I15" s="4"/>
      <c r="J15" s="11">
        <f>AVERAGE(J3:J13)</f>
        <v>5.7313585961674875E-3</v>
      </c>
      <c r="M15" t="s">
        <v>224</v>
      </c>
      <c r="N15">
        <v>0.28173592582572321</v>
      </c>
    </row>
    <row r="16" spans="2:14" ht="15" thickBot="1">
      <c r="B16" s="31" t="s">
        <v>225</v>
      </c>
      <c r="D16" s="11">
        <f>_xlfn.VAR.S(D3:D13)</f>
        <v>4.3090292341970479E-3</v>
      </c>
      <c r="F16" s="11">
        <f>_xlfn.VAR.S(F3:F13)</f>
        <v>1.3351775350166342E-2</v>
      </c>
      <c r="H16" s="11">
        <f>_xlfn.VAR.S(H3:H13)</f>
        <v>2.1841768922466556E-2</v>
      </c>
      <c r="J16" s="11">
        <f>_xlfn.VAR.S(J3:J13)</f>
        <v>1.6930224641650061E-3</v>
      </c>
      <c r="M16" s="20" t="s">
        <v>226</v>
      </c>
      <c r="N16" s="20">
        <v>11</v>
      </c>
    </row>
    <row r="17" spans="1:10">
      <c r="B17" s="31" t="s">
        <v>227</v>
      </c>
      <c r="D17" s="11">
        <f>_xlfn.STDEV.S(D3:D13)</f>
        <v>6.5643196404479326E-2</v>
      </c>
      <c r="E17" s="11"/>
      <c r="F17" s="11">
        <f>_xlfn.STDEV.S(F3:F13)</f>
        <v>0.11554988251905036</v>
      </c>
      <c r="G17" s="11"/>
      <c r="H17" s="11">
        <f>_xlfn.STDEV.S(H3:H13)</f>
        <v>0.14778961033329291</v>
      </c>
      <c r="I17" s="11"/>
      <c r="J17" s="11">
        <f>_xlfn.STDEV.S(J3:J13)</f>
        <v>4.1146354202590128E-2</v>
      </c>
    </row>
    <row r="18" spans="1:10">
      <c r="B18" s="31" t="s">
        <v>228</v>
      </c>
      <c r="D18" s="12">
        <f>CORREL(D3:D13,F3:F13)</f>
        <v>0.26508545246080611</v>
      </c>
    </row>
    <row r="19" spans="1:10">
      <c r="B19" s="31" t="s">
        <v>229</v>
      </c>
      <c r="D19" s="12">
        <f>CORREL(D3:D13,H3:H13)</f>
        <v>-0.18153370986390233</v>
      </c>
    </row>
    <row r="20" spans="1:10">
      <c r="B20" s="31" t="s">
        <v>230</v>
      </c>
      <c r="D20" s="12">
        <f>CORREL(F3:F13,H3:H13)</f>
        <v>-5.8300116421225019E-2</v>
      </c>
    </row>
    <row r="21" spans="1:10">
      <c r="B21" s="31" t="s">
        <v>231</v>
      </c>
      <c r="D21" s="12">
        <f>CORREL(H3:H13,J3:J13)</f>
        <v>0.63031174455817107</v>
      </c>
    </row>
    <row r="22" spans="1:10">
      <c r="B22" s="32"/>
    </row>
    <row r="23" spans="1:10">
      <c r="B23" s="31" t="s">
        <v>232</v>
      </c>
      <c r="D23" s="19">
        <f>_xlfn.COVARIANCE.S(D3:D13,F3:F13)</f>
        <v>2.0106900250216079E-3</v>
      </c>
    </row>
    <row r="24" spans="1:10">
      <c r="B24" s="31" t="s">
        <v>233</v>
      </c>
      <c r="D24" s="19">
        <f>_xlfn.COVARIANCE.S(D3:D13,H3:H13)</f>
        <v>-1.7611279410844048E-3</v>
      </c>
    </row>
    <row r="25" spans="1:10">
      <c r="B25" s="32"/>
    </row>
    <row r="26" spans="1:10">
      <c r="A26" s="3" t="s">
        <v>234</v>
      </c>
      <c r="B26" s="31" t="s">
        <v>235</v>
      </c>
      <c r="D26" s="18">
        <f>SQRT((B29*D17)^2+(B30*F17)^2+2*B29*B30*D17*F17*D18)</f>
        <v>7.3624358459694922E-2</v>
      </c>
    </row>
    <row r="27" spans="1:10">
      <c r="A27" s="3" t="s">
        <v>234</v>
      </c>
      <c r="B27" s="31" t="s">
        <v>236</v>
      </c>
      <c r="D27" s="18">
        <f>SQRT((B32*F17)^2+(B33*H17)^2+2*B32*B33*F17*H17*D20)</f>
        <v>9.1107565119696657E-2</v>
      </c>
    </row>
    <row r="29" spans="1:10">
      <c r="A29" t="s">
        <v>237</v>
      </c>
      <c r="B29" s="7">
        <v>0.5</v>
      </c>
    </row>
    <row r="30" spans="1:10">
      <c r="A30" t="s">
        <v>238</v>
      </c>
      <c r="B30" s="7">
        <v>0.5</v>
      </c>
    </row>
    <row r="32" spans="1:10">
      <c r="A32" t="s">
        <v>238</v>
      </c>
      <c r="B32" s="17">
        <v>0.5</v>
      </c>
    </row>
    <row r="33" spans="1:2">
      <c r="A33" t="s">
        <v>239</v>
      </c>
      <c r="B33" s="17">
        <v>0.5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7"/>
  <sheetViews>
    <sheetView workbookViewId="0">
      <selection activeCell="C17" sqref="C17"/>
    </sheetView>
  </sheetViews>
  <sheetFormatPr defaultRowHeight="14.45"/>
  <cols>
    <col min="1" max="1" width="3" bestFit="1" customWidth="1"/>
    <col min="2" max="2" width="12.5703125" bestFit="1" customWidth="1"/>
    <col min="3" max="3" width="11.28515625" bestFit="1" customWidth="1"/>
    <col min="6" max="6" width="24.85546875" bestFit="1" customWidth="1"/>
    <col min="7" max="7" width="19" customWidth="1"/>
    <col min="9" max="9" width="13" customWidth="1"/>
    <col min="10" max="10" width="10.7109375" bestFit="1" customWidth="1"/>
    <col min="11" max="11" width="13.85546875" customWidth="1"/>
  </cols>
  <sheetData>
    <row r="1" spans="1:14">
      <c r="B1" s="24" t="s">
        <v>240</v>
      </c>
      <c r="C1" s="24" t="s">
        <v>241</v>
      </c>
    </row>
    <row r="2" spans="1:14">
      <c r="B2" t="s">
        <v>242</v>
      </c>
      <c r="C2" t="s">
        <v>243</v>
      </c>
    </row>
    <row r="3" spans="1:14">
      <c r="B3" s="2" t="s">
        <v>244</v>
      </c>
      <c r="C3" t="s">
        <v>245</v>
      </c>
      <c r="F3" t="s">
        <v>246</v>
      </c>
    </row>
    <row r="4" spans="1:14" ht="15" thickBot="1">
      <c r="A4">
        <v>1</v>
      </c>
      <c r="B4" s="23">
        <v>3.7383229594939803E-2</v>
      </c>
      <c r="C4" s="23">
        <v>-5.8971473977430085E-2</v>
      </c>
    </row>
    <row r="5" spans="1:14">
      <c r="A5">
        <v>2</v>
      </c>
      <c r="B5" s="23">
        <v>-6.3063094002496406E-2</v>
      </c>
      <c r="C5" s="23">
        <v>6.175285792420885E-2</v>
      </c>
      <c r="F5" s="22" t="s">
        <v>247</v>
      </c>
      <c r="G5" s="22"/>
    </row>
    <row r="6" spans="1:14">
      <c r="A6">
        <v>3</v>
      </c>
      <c r="B6" s="23">
        <v>7.6923182656648922E-2</v>
      </c>
      <c r="C6" s="23">
        <v>-2.6112494098262121E-2</v>
      </c>
      <c r="F6" t="s">
        <v>248</v>
      </c>
      <c r="G6">
        <v>0.36633189456816961</v>
      </c>
    </row>
    <row r="7" spans="1:14">
      <c r="A7">
        <v>4</v>
      </c>
      <c r="B7" s="23">
        <v>3.2142876895972478E-2</v>
      </c>
      <c r="C7" s="23">
        <v>3.5051612769053636E-2</v>
      </c>
      <c r="F7" t="s">
        <v>249</v>
      </c>
      <c r="G7">
        <v>0.13419905697790455</v>
      </c>
    </row>
    <row r="8" spans="1:14">
      <c r="A8">
        <v>5</v>
      </c>
      <c r="B8" s="23">
        <v>0.15916946174205771</v>
      </c>
      <c r="C8" s="23">
        <v>1.4642341448102371E-2</v>
      </c>
      <c r="F8" t="s">
        <v>250</v>
      </c>
      <c r="G8">
        <v>3.7998952197671722E-2</v>
      </c>
    </row>
    <row r="9" spans="1:14">
      <c r="A9">
        <v>6</v>
      </c>
      <c r="B9" s="23">
        <v>-4.1790993824269478E-2</v>
      </c>
      <c r="C9" s="23">
        <v>2.4823474509163826E-3</v>
      </c>
      <c r="F9" t="s">
        <v>213</v>
      </c>
      <c r="G9">
        <v>0.1133332337705111</v>
      </c>
    </row>
    <row r="10" spans="1:14" ht="15" thickBot="1">
      <c r="A10">
        <v>7</v>
      </c>
      <c r="B10" s="23">
        <v>0.30259795926319699</v>
      </c>
      <c r="C10" s="23">
        <v>6.4727464980933999E-2</v>
      </c>
      <c r="F10" s="20" t="s">
        <v>251</v>
      </c>
      <c r="G10" s="20">
        <v>11</v>
      </c>
    </row>
    <row r="11" spans="1:14">
      <c r="A11">
        <v>8</v>
      </c>
      <c r="B11" s="23">
        <v>1.9943019943020026E-2</v>
      </c>
      <c r="C11" s="23">
        <v>3.1138932325611532E-2</v>
      </c>
    </row>
    <row r="12" spans="1:14" ht="15" thickBot="1">
      <c r="A12">
        <v>9</v>
      </c>
      <c r="B12" s="23">
        <v>4.748603351955305E-2</v>
      </c>
      <c r="C12" s="23">
        <v>-1.7716390138710923E-2</v>
      </c>
      <c r="F12" t="s">
        <v>252</v>
      </c>
    </row>
    <row r="13" spans="1:14">
      <c r="A13">
        <v>10</v>
      </c>
      <c r="B13" s="23">
        <v>-0.11066666666666668</v>
      </c>
      <c r="C13" s="23">
        <v>-4.8719367343539433E-2</v>
      </c>
      <c r="F13" s="21"/>
      <c r="G13" s="21" t="s">
        <v>253</v>
      </c>
      <c r="H13" s="21" t="s">
        <v>254</v>
      </c>
      <c r="I13" s="21" t="s">
        <v>255</v>
      </c>
      <c r="J13" s="21" t="s">
        <v>256</v>
      </c>
      <c r="K13" s="21" t="s">
        <v>257</v>
      </c>
    </row>
    <row r="14" spans="1:14">
      <c r="A14">
        <v>11</v>
      </c>
      <c r="B14" s="23">
        <v>-5.2473763118440729E-2</v>
      </c>
      <c r="C14" s="23">
        <v>4.7691132169581573E-3</v>
      </c>
      <c r="F14" t="s">
        <v>258</v>
      </c>
      <c r="G14">
        <v>1</v>
      </c>
      <c r="H14">
        <v>1.7917956609731542E-2</v>
      </c>
      <c r="I14">
        <v>1.7917956609731542E-2</v>
      </c>
      <c r="J14">
        <v>1.3949990728646249</v>
      </c>
      <c r="K14" s="30">
        <v>0.26783250510403689</v>
      </c>
      <c r="M14">
        <f>H14/G14</f>
        <v>1.7917956609731542E-2</v>
      </c>
      <c r="N14">
        <f>I14/I15</f>
        <v>1.3949990728646249</v>
      </c>
    </row>
    <row r="15" spans="1:14">
      <c r="F15" t="s">
        <v>259</v>
      </c>
      <c r="G15">
        <v>9</v>
      </c>
      <c r="H15">
        <v>0.11559979689193185</v>
      </c>
      <c r="I15">
        <v>1.2844421876881318E-2</v>
      </c>
      <c r="M15">
        <f>H15/G15</f>
        <v>1.2844421876881318E-2</v>
      </c>
    </row>
    <row r="16" spans="1:14" ht="15" thickBot="1">
      <c r="F16" s="20" t="s">
        <v>260</v>
      </c>
      <c r="G16" s="20">
        <v>10</v>
      </c>
      <c r="H16" s="20">
        <v>0.13351775350166339</v>
      </c>
      <c r="I16" s="20"/>
      <c r="J16" s="20"/>
      <c r="K16" s="20"/>
    </row>
    <row r="17" spans="6:14" ht="15" thickBot="1"/>
    <row r="18" spans="6:14">
      <c r="F18" s="21"/>
      <c r="G18" s="21" t="s">
        <v>261</v>
      </c>
      <c r="H18" s="21" t="s">
        <v>213</v>
      </c>
      <c r="I18" s="21" t="s">
        <v>262</v>
      </c>
      <c r="J18" s="21" t="s">
        <v>263</v>
      </c>
      <c r="K18" s="21" t="s">
        <v>264</v>
      </c>
      <c r="L18" s="21" t="s">
        <v>265</v>
      </c>
      <c r="M18" s="21" t="s">
        <v>266</v>
      </c>
      <c r="N18" s="21" t="s">
        <v>267</v>
      </c>
    </row>
    <row r="19" spans="6:14">
      <c r="F19" t="s">
        <v>268</v>
      </c>
      <c r="G19" s="25">
        <v>3.1163027866317441E-2</v>
      </c>
      <c r="H19">
        <v>3.4533980431353986E-2</v>
      </c>
      <c r="I19">
        <v>0.90238737258401869</v>
      </c>
      <c r="J19">
        <v>0.39036246371215455</v>
      </c>
      <c r="K19">
        <v>-4.695826332640303E-2</v>
      </c>
      <c r="L19">
        <v>0.10928431905903792</v>
      </c>
      <c r="M19">
        <v>-4.695826332640303E-2</v>
      </c>
      <c r="N19">
        <v>0.10928431905903792</v>
      </c>
    </row>
    <row r="20" spans="6:14" ht="15" thickBot="1">
      <c r="F20" s="20" t="s">
        <v>245</v>
      </c>
      <c r="G20" s="26">
        <v>1.0287571815455891</v>
      </c>
      <c r="H20" s="20">
        <v>0.87101557416857933</v>
      </c>
      <c r="I20" s="20">
        <v>1.1811007886140048</v>
      </c>
      <c r="J20" s="20">
        <v>0.26783250510403667</v>
      </c>
      <c r="K20" s="20">
        <v>-0.94161693846865413</v>
      </c>
      <c r="L20" s="20">
        <v>2.9991313015598324</v>
      </c>
      <c r="M20" s="20">
        <v>-0.94161693846865413</v>
      </c>
      <c r="N20" s="20">
        <v>2.9991313015598324</v>
      </c>
    </row>
    <row r="22" spans="6:14">
      <c r="G22" t="s">
        <v>269</v>
      </c>
    </row>
    <row r="23" spans="6:14">
      <c r="G23" t="s">
        <v>270</v>
      </c>
    </row>
    <row r="24" spans="6:14">
      <c r="F24" t="s">
        <v>271</v>
      </c>
    </row>
    <row r="25" spans="6:14" ht="15" thickBot="1"/>
    <row r="26" spans="6:14">
      <c r="F26" s="21" t="s">
        <v>272</v>
      </c>
      <c r="G26" s="21" t="s">
        <v>273</v>
      </c>
      <c r="H26" s="21" t="s">
        <v>274</v>
      </c>
      <c r="J26" s="29" t="s">
        <v>275</v>
      </c>
      <c r="K26" s="29" t="s">
        <v>276</v>
      </c>
    </row>
    <row r="27" spans="6:14">
      <c r="F27">
        <v>1</v>
      </c>
      <c r="G27">
        <v>-2.9504299494292587E-2</v>
      </c>
      <c r="H27">
        <v>6.6887529089232386E-2</v>
      </c>
      <c r="J27" s="28">
        <f>$G$19+$G$20*C4</f>
        <v>-2.9504299494292587E-2</v>
      </c>
      <c r="K27" s="27">
        <f>B4-J27</f>
        <v>6.6887529089232386E-2</v>
      </c>
    </row>
    <row r="28" spans="6:14">
      <c r="F28">
        <v>2</v>
      </c>
      <c r="G28">
        <v>9.4691723936811745E-2</v>
      </c>
      <c r="H28">
        <v>-0.15775481793930815</v>
      </c>
      <c r="J28" s="28">
        <f t="shared" ref="J28:J37" si="0">$G$19+$G$20*C5</f>
        <v>9.4691723936811745E-2</v>
      </c>
      <c r="K28" s="27">
        <f t="shared" ref="K28:K37" si="1">B5-J28</f>
        <v>-0.15775481793930815</v>
      </c>
    </row>
    <row r="29" spans="6:14">
      <c r="F29">
        <v>3</v>
      </c>
      <c r="G29">
        <v>4.2996120346634713E-3</v>
      </c>
      <c r="H29">
        <v>7.2623570621985448E-2</v>
      </c>
      <c r="J29" s="28">
        <f t="shared" si="0"/>
        <v>4.2996120346634713E-3</v>
      </c>
      <c r="K29" s="27">
        <f t="shared" si="1"/>
        <v>7.2623570621985448E-2</v>
      </c>
    </row>
    <row r="30" spans="6:14">
      <c r="F30">
        <v>4</v>
      </c>
      <c r="G30">
        <v>6.7222626227236446E-2</v>
      </c>
      <c r="H30">
        <v>-3.5079749331263968E-2</v>
      </c>
      <c r="J30" s="28">
        <f t="shared" si="0"/>
        <v>6.7222626227236446E-2</v>
      </c>
      <c r="K30" s="27">
        <f t="shared" si="1"/>
        <v>-3.5079749331263968E-2</v>
      </c>
    </row>
    <row r="31" spans="6:14">
      <c r="F31">
        <v>5</v>
      </c>
      <c r="G31">
        <v>4.6226441785695398E-2</v>
      </c>
      <c r="H31">
        <v>0.1129430199563623</v>
      </c>
      <c r="J31" s="28">
        <f t="shared" si="0"/>
        <v>4.6226441785695398E-2</v>
      </c>
      <c r="K31" s="27">
        <f t="shared" si="1"/>
        <v>0.1129430199563623</v>
      </c>
    </row>
    <row r="32" spans="6:14">
      <c r="F32">
        <v>6</v>
      </c>
      <c r="G32">
        <v>3.3716760633539053E-2</v>
      </c>
      <c r="H32">
        <v>-7.5507754457808524E-2</v>
      </c>
      <c r="J32" s="28">
        <f t="shared" si="0"/>
        <v>3.3716760633539053E-2</v>
      </c>
      <c r="K32" s="27">
        <f t="shared" si="1"/>
        <v>-7.5507754457808524E-2</v>
      </c>
    </row>
    <row r="33" spans="6:11">
      <c r="F33">
        <v>7</v>
      </c>
      <c r="G33">
        <v>9.7751872308693921E-2</v>
      </c>
      <c r="H33">
        <v>0.20484608695450307</v>
      </c>
      <c r="J33" s="28">
        <f t="shared" si="0"/>
        <v>9.7751872308693921E-2</v>
      </c>
      <c r="K33" s="27">
        <f t="shared" si="1"/>
        <v>0.20484608695450307</v>
      </c>
    </row>
    <row r="34" spans="6:11">
      <c r="F34">
        <v>8</v>
      </c>
      <c r="G34">
        <v>6.3197428121952393E-2</v>
      </c>
      <c r="H34">
        <v>-4.3254408178932363E-2</v>
      </c>
      <c r="J34" s="28">
        <f t="shared" si="0"/>
        <v>6.3197428121952393E-2</v>
      </c>
      <c r="K34" s="27">
        <f t="shared" si="1"/>
        <v>-4.3254408178932363E-2</v>
      </c>
    </row>
    <row r="35" spans="6:11">
      <c r="F35">
        <v>9</v>
      </c>
      <c r="G35">
        <v>1.2937164280055122E-2</v>
      </c>
      <c r="H35">
        <v>3.4548869239497931E-2</v>
      </c>
      <c r="J35" s="28">
        <f t="shared" si="0"/>
        <v>1.2937164280055122E-2</v>
      </c>
      <c r="K35" s="27">
        <f t="shared" si="1"/>
        <v>3.4548869239497931E-2</v>
      </c>
    </row>
    <row r="36" spans="6:11">
      <c r="F36">
        <v>10</v>
      </c>
      <c r="G36">
        <v>-1.89573711687064E-2</v>
      </c>
      <c r="H36">
        <v>-9.170929549796028E-2</v>
      </c>
      <c r="J36" s="28">
        <f t="shared" si="0"/>
        <v>-1.89573711687064E-2</v>
      </c>
      <c r="K36" s="27">
        <f t="shared" si="1"/>
        <v>-9.170929549796028E-2</v>
      </c>
    </row>
    <row r="37" spans="6:11" ht="15" thickBot="1">
      <c r="F37" s="20">
        <v>11</v>
      </c>
      <c r="G37" s="20">
        <v>3.6069287337867136E-2</v>
      </c>
      <c r="H37" s="20">
        <v>-8.8543050456307865E-2</v>
      </c>
      <c r="J37" s="28">
        <f t="shared" si="0"/>
        <v>3.6069287337867136E-2</v>
      </c>
      <c r="K37" s="27">
        <f t="shared" si="1"/>
        <v>-8.8543050456307865E-2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T22"/>
  <sheetViews>
    <sheetView workbookViewId="0">
      <selection activeCell="R13" sqref="R13"/>
    </sheetView>
  </sheetViews>
  <sheetFormatPr defaultRowHeight="14.45"/>
  <cols>
    <col min="2" max="2" width="11.5703125" style="5" bestFit="1" customWidth="1"/>
    <col min="3" max="3" width="11.5703125" style="5" customWidth="1"/>
    <col min="4" max="4" width="11.5703125" style="5" bestFit="1" customWidth="1"/>
    <col min="9" max="9" width="10.140625" bestFit="1" customWidth="1"/>
    <col min="11" max="12" width="9.140625" style="5"/>
    <col min="13" max="13" width="11.5703125" bestFit="1" customWidth="1"/>
    <col min="14" max="14" width="11.42578125" style="5" bestFit="1" customWidth="1"/>
    <col min="19" max="19" width="11.5703125" bestFit="1" customWidth="1"/>
    <col min="20" max="20" width="11.42578125" bestFit="1" customWidth="1"/>
  </cols>
  <sheetData>
    <row r="1" spans="2:20">
      <c r="B1" s="15" t="s">
        <v>208</v>
      </c>
      <c r="C1" s="15" t="s">
        <v>207</v>
      </c>
      <c r="D1" s="9" t="s">
        <v>210</v>
      </c>
      <c r="E1" s="10" t="s">
        <v>207</v>
      </c>
      <c r="H1" s="15" t="s">
        <v>208</v>
      </c>
      <c r="I1" s="9" t="s">
        <v>210</v>
      </c>
      <c r="K1" s="15" t="s">
        <v>277</v>
      </c>
      <c r="L1" s="9" t="s">
        <v>278</v>
      </c>
      <c r="M1" s="3" t="s">
        <v>279</v>
      </c>
      <c r="N1" s="4" t="s">
        <v>280</v>
      </c>
      <c r="Q1" s="15" t="s">
        <v>277</v>
      </c>
      <c r="R1" s="9" t="s">
        <v>278</v>
      </c>
      <c r="S1" s="3" t="s">
        <v>279</v>
      </c>
      <c r="T1" s="4" t="s">
        <v>280</v>
      </c>
    </row>
    <row r="2" spans="2:20">
      <c r="B2" s="6">
        <v>8.9820489999999999</v>
      </c>
      <c r="C2" s="6"/>
      <c r="D2" s="6">
        <v>4080.110107</v>
      </c>
      <c r="G2" t="s">
        <v>281</v>
      </c>
      <c r="H2" s="34">
        <f>AVERAGE(C3:C13)</f>
        <v>3.7059204182137789E-2</v>
      </c>
      <c r="I2" s="34">
        <f>AVERAGE(E3:E13)</f>
        <v>5.7313585961674875E-3</v>
      </c>
      <c r="K2" s="17">
        <v>0</v>
      </c>
      <c r="L2" s="17">
        <f>1-K2</f>
        <v>1</v>
      </c>
      <c r="M2" s="35">
        <f t="shared" ref="M2:M22" si="0">SQRT((K2*$H$3)^2+(L2*$I$3)^2+2*K2*L2*$H$3*$I$3*$H$4)</f>
        <v>4.1146354202590128E-2</v>
      </c>
      <c r="N2" s="34">
        <f>K2*$H$2+L2*$I$2</f>
        <v>5.7313585961674875E-3</v>
      </c>
      <c r="Q2" s="17">
        <v>0</v>
      </c>
      <c r="R2" s="17">
        <f>1-Q2</f>
        <v>1</v>
      </c>
      <c r="S2" s="35">
        <f>SQRT((Q2*$H$3)^2+(R2*$I$3)^2+2*Q2*R2*$H$3*$I$3*$H$4)</f>
        <v>4.1146354202590128E-2</v>
      </c>
      <c r="T2" s="34">
        <f>Q2*$H$2+R2*$I$2</f>
        <v>5.7313585961674875E-3</v>
      </c>
    </row>
    <row r="3" spans="2:20">
      <c r="B3" s="6">
        <v>9.3178269999999994</v>
      </c>
      <c r="C3" s="8">
        <v>3.7383229594939803E-2</v>
      </c>
      <c r="D3" s="6">
        <v>3839.5</v>
      </c>
      <c r="E3" s="8">
        <f>(D3-D2)/D2</f>
        <v>-5.8971473977430085E-2</v>
      </c>
      <c r="G3" t="s">
        <v>234</v>
      </c>
      <c r="H3" s="34">
        <f>_xlfn.STDEV.S(C3:C13)</f>
        <v>0.11554988251905036</v>
      </c>
      <c r="I3" s="34">
        <f>_xlfn.STDEV.S(E3:E13)</f>
        <v>4.1146354202590128E-2</v>
      </c>
      <c r="K3" s="17">
        <f>K2+5%</f>
        <v>0.05</v>
      </c>
      <c r="L3" s="17">
        <f t="shared" ref="L3:L22" si="1">1-K3</f>
        <v>0.95</v>
      </c>
      <c r="M3" s="33">
        <f t="shared" si="0"/>
        <v>4.1554717771204647E-2</v>
      </c>
      <c r="N3" s="34">
        <f t="shared" ref="N3:N22" si="2">K3*$H$2+L3*$I$2</f>
        <v>7.2977508754660022E-3</v>
      </c>
    </row>
    <row r="4" spans="2:20">
      <c r="B4" s="6">
        <v>8.7302160000000004</v>
      </c>
      <c r="C4" s="8">
        <v>-6.3063094002496406E-2</v>
      </c>
      <c r="D4" s="6">
        <v>4076.6000979999999</v>
      </c>
      <c r="E4" s="8">
        <f t="shared" ref="E4:E13" si="3">(D4-D3)/D3</f>
        <v>6.175285792420885E-2</v>
      </c>
      <c r="G4" t="s">
        <v>282</v>
      </c>
      <c r="H4">
        <f>CORREL(C3:C13,E3:E13)</f>
        <v>0.36633189456816945</v>
      </c>
      <c r="K4" s="17">
        <f t="shared" ref="K4:K22" si="4">K3+5%</f>
        <v>0.1</v>
      </c>
      <c r="L4" s="17">
        <f t="shared" si="1"/>
        <v>0.9</v>
      </c>
      <c r="M4" s="33">
        <f t="shared" si="0"/>
        <v>4.2642391734168894E-2</v>
      </c>
      <c r="N4" s="34">
        <f t="shared" si="2"/>
        <v>8.8641431547645186E-3</v>
      </c>
    </row>
    <row r="5" spans="2:20">
      <c r="B5" s="6">
        <v>9.4017719999999994</v>
      </c>
      <c r="C5" s="8">
        <v>7.6923182656648922E-2</v>
      </c>
      <c r="D5" s="6">
        <v>3970.1499020000001</v>
      </c>
      <c r="E5" s="8">
        <f t="shared" si="3"/>
        <v>-2.6112494098262121E-2</v>
      </c>
      <c r="K5" s="17">
        <f t="shared" si="4"/>
        <v>0.15000000000000002</v>
      </c>
      <c r="L5" s="17">
        <f t="shared" si="1"/>
        <v>0.85</v>
      </c>
      <c r="M5" s="33">
        <f t="shared" si="0"/>
        <v>4.4359435021904176E-2</v>
      </c>
      <c r="N5" s="34">
        <f t="shared" si="2"/>
        <v>1.0430535434063033E-2</v>
      </c>
    </row>
    <row r="6" spans="2:20">
      <c r="B6" s="6">
        <v>9.7039720000000003</v>
      </c>
      <c r="C6" s="8">
        <v>3.2142876895972478E-2</v>
      </c>
      <c r="D6" s="6">
        <v>4109.3100590000004</v>
      </c>
      <c r="E6" s="8">
        <f t="shared" si="3"/>
        <v>3.5051612769053636E-2</v>
      </c>
      <c r="K6" s="17">
        <f t="shared" si="4"/>
        <v>0.2</v>
      </c>
      <c r="L6" s="17">
        <f t="shared" si="1"/>
        <v>0.8</v>
      </c>
      <c r="M6" s="33">
        <f t="shared" si="0"/>
        <v>4.6636383618384701E-2</v>
      </c>
      <c r="N6" s="34">
        <f t="shared" si="2"/>
        <v>1.1996927713361548E-2</v>
      </c>
    </row>
    <row r="7" spans="2:20">
      <c r="B7" s="6">
        <v>11.248548</v>
      </c>
      <c r="C7" s="8">
        <v>0.15916946174205771</v>
      </c>
      <c r="D7" s="6">
        <v>4169.4799800000001</v>
      </c>
      <c r="E7" s="8">
        <f t="shared" si="3"/>
        <v>1.4642341448102371E-2</v>
      </c>
      <c r="K7" s="17">
        <f t="shared" si="4"/>
        <v>0.25</v>
      </c>
      <c r="L7" s="17">
        <f t="shared" si="1"/>
        <v>0.75</v>
      </c>
      <c r="M7" s="33">
        <f t="shared" si="0"/>
        <v>4.9395870044226596E-2</v>
      </c>
      <c r="N7" s="34">
        <f t="shared" si="2"/>
        <v>1.3563319992660063E-2</v>
      </c>
    </row>
    <row r="8" spans="2:20">
      <c r="B8" s="6">
        <v>10.778460000000001</v>
      </c>
      <c r="C8" s="8">
        <v>-4.1790993824269478E-2</v>
      </c>
      <c r="D8" s="6">
        <v>4179.830078</v>
      </c>
      <c r="E8" s="8">
        <f t="shared" si="3"/>
        <v>2.4823474509163826E-3</v>
      </c>
      <c r="K8" s="17">
        <f t="shared" si="4"/>
        <v>0.3</v>
      </c>
      <c r="L8" s="17">
        <f t="shared" si="1"/>
        <v>0.7</v>
      </c>
      <c r="M8" s="33">
        <f t="shared" si="0"/>
        <v>5.2561949894743082E-2</v>
      </c>
      <c r="N8" s="34">
        <f t="shared" si="2"/>
        <v>1.5129712271958577E-2</v>
      </c>
    </row>
    <row r="9" spans="2:20">
      <c r="B9" s="6">
        <v>14.04</v>
      </c>
      <c r="C9" s="8">
        <v>0.30259795926319699</v>
      </c>
      <c r="D9" s="6">
        <v>4450.3798829999996</v>
      </c>
      <c r="E9" s="8">
        <f t="shared" si="3"/>
        <v>6.4727464980933999E-2</v>
      </c>
      <c r="K9" s="17">
        <f t="shared" si="4"/>
        <v>0.35</v>
      </c>
      <c r="L9" s="17">
        <f t="shared" si="1"/>
        <v>0.65</v>
      </c>
      <c r="M9" s="33">
        <f t="shared" si="0"/>
        <v>5.6065783459568481E-2</v>
      </c>
      <c r="N9" s="34">
        <f t="shared" si="2"/>
        <v>1.6696104551257092E-2</v>
      </c>
    </row>
    <row r="10" spans="2:20">
      <c r="B10" s="6">
        <v>14.32</v>
      </c>
      <c r="C10" s="8">
        <v>1.9943019943020026E-2</v>
      </c>
      <c r="D10" s="6">
        <v>4588.9599609999996</v>
      </c>
      <c r="E10" s="8">
        <f t="shared" si="3"/>
        <v>3.1138932325611532E-2</v>
      </c>
      <c r="K10" s="17">
        <f t="shared" si="4"/>
        <v>0.39999999999999997</v>
      </c>
      <c r="L10" s="17">
        <f t="shared" si="1"/>
        <v>0.60000000000000009</v>
      </c>
      <c r="M10" s="33">
        <f t="shared" si="0"/>
        <v>5.9848078265048253E-2</v>
      </c>
      <c r="N10" s="34">
        <f t="shared" si="2"/>
        <v>1.8262496830555607E-2</v>
      </c>
    </row>
    <row r="11" spans="2:20">
      <c r="B11" s="6">
        <v>15</v>
      </c>
      <c r="C11" s="8">
        <v>4.748603351955305E-2</v>
      </c>
      <c r="D11" s="6">
        <v>4507.6601559999999</v>
      </c>
      <c r="E11" s="8">
        <f t="shared" si="3"/>
        <v>-1.7716390138710923E-2</v>
      </c>
      <c r="K11" s="17">
        <f t="shared" si="4"/>
        <v>0.44999999999999996</v>
      </c>
      <c r="L11" s="17">
        <f t="shared" si="1"/>
        <v>0.55000000000000004</v>
      </c>
      <c r="M11" s="33">
        <f t="shared" si="0"/>
        <v>6.3859374942054042E-2</v>
      </c>
      <c r="N11" s="34">
        <f t="shared" si="2"/>
        <v>1.9828889109854121E-2</v>
      </c>
    </row>
    <row r="12" spans="2:20">
      <c r="B12" s="6">
        <v>13.34</v>
      </c>
      <c r="C12" s="8">
        <v>-0.11066666666666668</v>
      </c>
      <c r="D12" s="6">
        <v>4288.0498049999997</v>
      </c>
      <c r="E12" s="8">
        <f t="shared" si="3"/>
        <v>-4.8719367343539433E-2</v>
      </c>
      <c r="K12" s="17">
        <f t="shared" si="4"/>
        <v>0.49999999999999994</v>
      </c>
      <c r="L12" s="17">
        <f t="shared" si="1"/>
        <v>0.5</v>
      </c>
      <c r="M12" s="33">
        <f t="shared" si="0"/>
        <v>6.8059194550381771E-2</v>
      </c>
      <c r="N12" s="34">
        <f t="shared" si="2"/>
        <v>2.1395281389152636E-2</v>
      </c>
    </row>
    <row r="13" spans="2:20">
      <c r="B13" s="6">
        <v>12.64</v>
      </c>
      <c r="C13" s="8">
        <v>-5.2473763118440729E-2</v>
      </c>
      <c r="D13" s="6">
        <v>4308.5</v>
      </c>
      <c r="E13" s="8">
        <f t="shared" si="3"/>
        <v>4.7691132169581573E-3</v>
      </c>
      <c r="K13" s="17">
        <f t="shared" si="4"/>
        <v>0.54999999999999993</v>
      </c>
      <c r="L13" s="17">
        <f t="shared" si="1"/>
        <v>0.45000000000000007</v>
      </c>
      <c r="M13" s="33">
        <f t="shared" si="0"/>
        <v>7.2414743364800874E-2</v>
      </c>
      <c r="N13" s="34">
        <f t="shared" si="2"/>
        <v>2.296167366845115E-2</v>
      </c>
    </row>
    <row r="14" spans="2:20">
      <c r="K14" s="17">
        <f>K13+5%</f>
        <v>0.6</v>
      </c>
      <c r="L14" s="17">
        <f t="shared" si="1"/>
        <v>0.4</v>
      </c>
      <c r="M14" s="33">
        <f t="shared" si="0"/>
        <v>7.6899564688102162E-2</v>
      </c>
      <c r="N14" s="34">
        <f t="shared" si="2"/>
        <v>2.4528065947749669E-2</v>
      </c>
    </row>
    <row r="15" spans="2:20">
      <c r="B15" s="4"/>
      <c r="C15" s="11"/>
      <c r="D15" s="4"/>
      <c r="E15" s="11"/>
      <c r="K15" s="17">
        <f t="shared" si="4"/>
        <v>0.65</v>
      </c>
      <c r="L15" s="17">
        <f t="shared" si="1"/>
        <v>0.35</v>
      </c>
      <c r="M15" s="33">
        <f t="shared" si="0"/>
        <v>8.1492318292803664E-2</v>
      </c>
      <c r="N15" s="34">
        <f t="shared" si="2"/>
        <v>2.6094458227048187E-2</v>
      </c>
    </row>
    <row r="16" spans="2:20">
      <c r="C16" s="11"/>
      <c r="E16" s="11"/>
      <c r="K16" s="17">
        <f t="shared" si="4"/>
        <v>0.70000000000000007</v>
      </c>
      <c r="L16" s="17">
        <f t="shared" si="1"/>
        <v>0.29999999999999993</v>
      </c>
      <c r="M16" s="33">
        <f t="shared" si="0"/>
        <v>8.6175749089509035E-2</v>
      </c>
      <c r="N16" s="34">
        <f t="shared" si="2"/>
        <v>2.7660850506346701E-2</v>
      </c>
    </row>
    <row r="17" spans="2:14">
      <c r="B17" s="11"/>
      <c r="C17" s="11"/>
      <c r="D17" s="11"/>
      <c r="E17" s="11"/>
      <c r="K17" s="17">
        <f t="shared" si="4"/>
        <v>0.75000000000000011</v>
      </c>
      <c r="L17" s="17">
        <f t="shared" si="1"/>
        <v>0.24999999999999989</v>
      </c>
      <c r="M17" s="33">
        <f t="shared" si="0"/>
        <v>9.0935847829262534E-2</v>
      </c>
      <c r="N17" s="34">
        <f t="shared" si="2"/>
        <v>2.9227242785645216E-2</v>
      </c>
    </row>
    <row r="18" spans="2:14">
      <c r="K18" s="17">
        <f t="shared" si="4"/>
        <v>0.80000000000000016</v>
      </c>
      <c r="L18" s="17">
        <f t="shared" si="1"/>
        <v>0.19999999999999984</v>
      </c>
      <c r="M18" s="33">
        <f t="shared" si="0"/>
        <v>9.5761182159588787E-2</v>
      </c>
      <c r="N18" s="34">
        <f t="shared" si="2"/>
        <v>3.0793635064943734E-2</v>
      </c>
    </row>
    <row r="19" spans="2:14">
      <c r="K19" s="17">
        <f t="shared" si="4"/>
        <v>0.8500000000000002</v>
      </c>
      <c r="L19" s="17">
        <f t="shared" si="1"/>
        <v>0.1499999999999998</v>
      </c>
      <c r="M19" s="33">
        <f t="shared" si="0"/>
        <v>0.10064236928681417</v>
      </c>
      <c r="N19" s="34">
        <f t="shared" si="2"/>
        <v>3.2360027344242245E-2</v>
      </c>
    </row>
    <row r="20" spans="2:14">
      <c r="K20" s="17">
        <f>K19+5%</f>
        <v>0.90000000000000024</v>
      </c>
      <c r="L20" s="17">
        <f t="shared" si="1"/>
        <v>9.9999999999999756E-2</v>
      </c>
      <c r="M20" s="33">
        <f t="shared" si="0"/>
        <v>0.10557166230391272</v>
      </c>
      <c r="N20" s="34">
        <f t="shared" si="2"/>
        <v>3.3926419623540767E-2</v>
      </c>
    </row>
    <row r="21" spans="2:14">
      <c r="K21" s="17">
        <f t="shared" si="4"/>
        <v>0.95000000000000029</v>
      </c>
      <c r="L21" s="17">
        <f t="shared" si="1"/>
        <v>4.9999999999999711E-2</v>
      </c>
      <c r="M21" s="33">
        <f t="shared" si="0"/>
        <v>0.11054262601569442</v>
      </c>
      <c r="N21" s="34">
        <f t="shared" si="2"/>
        <v>3.5492811902839282E-2</v>
      </c>
    </row>
    <row r="22" spans="2:14">
      <c r="K22" s="17">
        <f t="shared" si="4"/>
        <v>1.0000000000000002</v>
      </c>
      <c r="L22" s="17">
        <f t="shared" si="1"/>
        <v>0</v>
      </c>
      <c r="M22" s="35">
        <f t="shared" si="0"/>
        <v>0.11554988251905039</v>
      </c>
      <c r="N22" s="34">
        <f t="shared" si="2"/>
        <v>3.7059204182137796E-2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E23"/>
  <sheetViews>
    <sheetView tabSelected="1" zoomScale="60" zoomScaleNormal="60" workbookViewId="0">
      <selection activeCell="Y33" sqref="Y33"/>
    </sheetView>
  </sheetViews>
  <sheetFormatPr defaultRowHeight="14.45"/>
  <cols>
    <col min="2" max="2" width="10.140625" bestFit="1" customWidth="1"/>
    <col min="11" max="11" width="9.42578125" style="5" customWidth="1"/>
    <col min="12" max="12" width="12.42578125" style="5" bestFit="1" customWidth="1"/>
    <col min="13" max="13" width="6.85546875" bestFit="1" customWidth="1"/>
    <col min="14" max="14" width="6.140625" bestFit="1" customWidth="1"/>
    <col min="15" max="15" width="3.7109375" bestFit="1" customWidth="1"/>
    <col min="16" max="16" width="9.140625" style="5"/>
    <col min="21" max="21" width="14.5703125" style="5" customWidth="1"/>
    <col min="22" max="22" width="13.140625" style="5" customWidth="1"/>
    <col min="24" max="24" width="10.5703125" bestFit="1" customWidth="1"/>
    <col min="26" max="26" width="11.5703125" bestFit="1" customWidth="1"/>
    <col min="27" max="27" width="11.42578125" bestFit="1" customWidth="1"/>
    <col min="28" max="28" width="11.42578125" customWidth="1"/>
    <col min="30" max="31" width="9.140625" style="5"/>
  </cols>
  <sheetData>
    <row r="1" spans="2:31">
      <c r="H1" s="14" t="s">
        <v>206</v>
      </c>
      <c r="I1" s="15" t="s">
        <v>208</v>
      </c>
      <c r="X1" s="14" t="s">
        <v>206</v>
      </c>
      <c r="Y1" s="15" t="s">
        <v>208</v>
      </c>
      <c r="Z1" s="3" t="s">
        <v>279</v>
      </c>
      <c r="AA1" s="4" t="s">
        <v>280</v>
      </c>
      <c r="AB1" s="4"/>
    </row>
    <row r="2" spans="2:31">
      <c r="B2" s="4" t="s">
        <v>0</v>
      </c>
      <c r="C2" s="14" t="s">
        <v>206</v>
      </c>
      <c r="D2" s="14" t="s">
        <v>207</v>
      </c>
      <c r="E2" s="15" t="s">
        <v>208</v>
      </c>
      <c r="F2" s="15" t="s">
        <v>207</v>
      </c>
      <c r="G2" t="s">
        <v>281</v>
      </c>
      <c r="H2" s="34">
        <f>AVERAGE(D4:D14)</f>
        <v>2.5612356893247566E-2</v>
      </c>
      <c r="I2" s="34">
        <f>AVERAGE(F4:F14)</f>
        <v>3.7059204182137789E-2</v>
      </c>
      <c r="J2" s="34"/>
      <c r="K2" s="14" t="s">
        <v>206</v>
      </c>
      <c r="L2" s="34"/>
      <c r="M2" s="15" t="s">
        <v>208</v>
      </c>
      <c r="O2" t="s">
        <v>283</v>
      </c>
      <c r="P2" s="34" t="s">
        <v>284</v>
      </c>
      <c r="S2" s="14" t="s">
        <v>206</v>
      </c>
      <c r="T2" s="15" t="s">
        <v>208</v>
      </c>
      <c r="U2" s="4" t="s">
        <v>279</v>
      </c>
      <c r="V2" s="4" t="s">
        <v>280</v>
      </c>
      <c r="X2" s="17">
        <v>0.83149294658202411</v>
      </c>
      <c r="Y2" s="17">
        <f>1-X2</f>
        <v>0.16850705341797589</v>
      </c>
      <c r="Z2" s="35">
        <f>SQRT((X2*$H$3)^2+(Y2*$I$3)^2+2*X2*Y2*$H$3*$I$3*$H$4)</f>
        <v>6.2623820318320728E-2</v>
      </c>
      <c r="AA2" s="34">
        <f>X2*$H$2+Y2*$I$2</f>
        <v>2.7541231400824005E-2</v>
      </c>
      <c r="AB2" s="34"/>
    </row>
    <row r="3" spans="2:31">
      <c r="B3" s="13">
        <v>44866</v>
      </c>
      <c r="C3" s="6">
        <v>71.062820000000002</v>
      </c>
      <c r="D3" s="6"/>
      <c r="E3" s="6">
        <v>8.9820489999999999</v>
      </c>
      <c r="F3" s="6"/>
      <c r="G3" t="s">
        <v>234</v>
      </c>
      <c r="H3" s="42">
        <f>_xlfn.STDEV.S(D4:D14)</f>
        <v>6.5643196404479326E-2</v>
      </c>
      <c r="I3" s="34">
        <f>_xlfn.STDEV.S(F4:F14)</f>
        <v>0.11554988251905036</v>
      </c>
      <c r="J3" s="34"/>
      <c r="K3" s="5" t="s">
        <v>285</v>
      </c>
      <c r="L3" s="5" t="s">
        <v>286</v>
      </c>
      <c r="S3" s="17">
        <v>0</v>
      </c>
      <c r="T3" s="17">
        <f>1-S3</f>
        <v>1</v>
      </c>
      <c r="U3" s="36">
        <f t="shared" ref="U3:U23" si="0">SQRT((S3*$H$3)^2+(T3*$I$3)^2+2*S3*T3*$H$3*$I$3*$H$4)</f>
        <v>0.11554988251905036</v>
      </c>
      <c r="V3" s="34">
        <f>S3*$H$2+T3*$I$2</f>
        <v>3.7059204182137789E-2</v>
      </c>
    </row>
    <row r="4" spans="2:31">
      <c r="B4" s="13">
        <v>44896</v>
      </c>
      <c r="C4" s="6">
        <v>68.160454000000001</v>
      </c>
      <c r="D4" s="8">
        <f>(C4-C3)/C3</f>
        <v>-4.0842257596869935E-2</v>
      </c>
      <c r="E4" s="6">
        <v>9.3178269999999994</v>
      </c>
      <c r="F4" s="8">
        <f>(E4-E3)/E3</f>
        <v>3.7383229594939803E-2</v>
      </c>
      <c r="G4" t="s">
        <v>282</v>
      </c>
      <c r="H4">
        <f>CORREL(D4:D14,F4:F14)</f>
        <v>0.26508545246080611</v>
      </c>
      <c r="K4" s="8">
        <f>D4-$D$16</f>
        <v>-6.6454614490117497E-2</v>
      </c>
      <c r="L4" s="8">
        <f>K4^2</f>
        <v>4.416215787030134E-3</v>
      </c>
      <c r="M4" s="33">
        <f>F4-$F$16</f>
        <v>3.2402541280201341E-4</v>
      </c>
      <c r="N4" s="33">
        <f>M4^2</f>
        <v>1.0499246814151519E-7</v>
      </c>
      <c r="P4" s="34">
        <f>K4*M4</f>
        <v>-2.1532983892758983E-5</v>
      </c>
      <c r="S4" s="17">
        <f>S3+5%</f>
        <v>0.05</v>
      </c>
      <c r="T4" s="17">
        <f t="shared" ref="T4:T43" si="1">1-S4</f>
        <v>0.95</v>
      </c>
      <c r="U4" s="34">
        <f t="shared" si="0"/>
        <v>0.11068769298791835</v>
      </c>
      <c r="V4" s="34">
        <f t="shared" ref="V4:V23" si="2">S4*$H$2+T4*$I$2</f>
        <v>3.6486861817693277E-2</v>
      </c>
      <c r="AD4" s="37" t="s">
        <v>287</v>
      </c>
      <c r="AE4" s="37" t="s">
        <v>288</v>
      </c>
    </row>
    <row r="5" spans="2:31">
      <c r="B5" s="13">
        <v>44927</v>
      </c>
      <c r="C5" s="6">
        <v>69.876380999999995</v>
      </c>
      <c r="D5" s="8">
        <f t="shared" ref="D5:F14" si="3">(C5-C4)/C4</f>
        <v>2.5174817644260314E-2</v>
      </c>
      <c r="E5" s="6">
        <v>8.7302160000000004</v>
      </c>
      <c r="F5" s="8">
        <f t="shared" si="3"/>
        <v>-6.3063094002496406E-2</v>
      </c>
      <c r="K5" s="8">
        <f t="shared" ref="K5:K14" si="4">D5-$D$16</f>
        <v>-4.3753924898725163E-4</v>
      </c>
      <c r="L5" s="8">
        <f t="shared" ref="L5:L14" si="5">K5^2</f>
        <v>1.9144059440432817E-7</v>
      </c>
      <c r="M5" s="33">
        <f t="shared" ref="M5:M14" si="6">F5-$F$16</f>
        <v>-0.1001222981846342</v>
      </c>
      <c r="N5" s="33">
        <f t="shared" ref="N5:N14" si="7">M5^2</f>
        <v>1.0024474593772804E-2</v>
      </c>
      <c r="P5" s="34">
        <f t="shared" ref="P5:P14" si="8">K5*M5</f>
        <v>4.3807435154582516E-5</v>
      </c>
      <c r="S5" s="17">
        <f t="shared" ref="S5:S23" si="9">S4+5%</f>
        <v>0.1</v>
      </c>
      <c r="T5" s="17">
        <f t="shared" si="1"/>
        <v>0.9</v>
      </c>
      <c r="U5" s="34">
        <f t="shared" si="0"/>
        <v>0.10592427734226274</v>
      </c>
      <c r="V5" s="34">
        <f t="shared" si="2"/>
        <v>3.5914519453248771E-2</v>
      </c>
      <c r="X5" t="s">
        <v>289</v>
      </c>
      <c r="AC5" t="s">
        <v>290</v>
      </c>
      <c r="AD5" s="17">
        <v>0.12</v>
      </c>
      <c r="AE5" s="17">
        <v>0.1</v>
      </c>
    </row>
    <row r="6" spans="2:31">
      <c r="B6" s="13">
        <v>44958</v>
      </c>
      <c r="C6" s="6">
        <v>70.924994999999996</v>
      </c>
      <c r="D6" s="8">
        <f t="shared" si="3"/>
        <v>1.5006701620680679E-2</v>
      </c>
      <c r="E6" s="6">
        <v>9.4017719999999994</v>
      </c>
      <c r="F6" s="8">
        <f t="shared" si="3"/>
        <v>7.6923182656648922E-2</v>
      </c>
      <c r="K6" s="8">
        <f t="shared" si="4"/>
        <v>-1.0605655272566886E-2</v>
      </c>
      <c r="L6" s="8">
        <f t="shared" si="5"/>
        <v>1.1247992376052579E-4</v>
      </c>
      <c r="M6" s="33">
        <f t="shared" si="6"/>
        <v>3.9863978474511133E-2</v>
      </c>
      <c r="N6" s="33">
        <f t="shared" si="7"/>
        <v>1.589136779816287E-3</v>
      </c>
      <c r="P6" s="34">
        <f t="shared" si="8"/>
        <v>-4.2278361349369186E-4</v>
      </c>
      <c r="S6" s="17">
        <f t="shared" si="9"/>
        <v>0.15000000000000002</v>
      </c>
      <c r="T6" s="17">
        <f t="shared" si="1"/>
        <v>0.85</v>
      </c>
      <c r="U6" s="34">
        <f t="shared" si="0"/>
        <v>0.10127357406868349</v>
      </c>
      <c r="V6" s="34">
        <f t="shared" si="2"/>
        <v>3.5342177088804258E-2</v>
      </c>
      <c r="X6" s="14" t="s">
        <v>206</v>
      </c>
      <c r="Y6" s="15" t="s">
        <v>208</v>
      </c>
      <c r="Z6" s="3" t="s">
        <v>279</v>
      </c>
      <c r="AA6" s="4" t="s">
        <v>280</v>
      </c>
      <c r="AB6" s="4"/>
      <c r="AC6" t="s">
        <v>291</v>
      </c>
      <c r="AD6" s="17">
        <v>0.05</v>
      </c>
      <c r="AE6" s="17">
        <v>0.02</v>
      </c>
    </row>
    <row r="7" spans="2:31">
      <c r="B7" s="13">
        <v>44986</v>
      </c>
      <c r="C7" s="6">
        <v>71.973624999999998</v>
      </c>
      <c r="D7" s="8">
        <f t="shared" si="3"/>
        <v>1.4785055677480173E-2</v>
      </c>
      <c r="E7" s="6">
        <v>9.7039720000000003</v>
      </c>
      <c r="F7" s="8">
        <f t="shared" si="3"/>
        <v>3.2142876895972478E-2</v>
      </c>
      <c r="K7" s="8">
        <f t="shared" si="4"/>
        <v>-1.0827301215767393E-2</v>
      </c>
      <c r="L7" s="8">
        <f t="shared" si="5"/>
        <v>1.1723045161695806E-4</v>
      </c>
      <c r="M7" s="33">
        <f t="shared" si="6"/>
        <v>-4.9163272861653118E-3</v>
      </c>
      <c r="N7" s="33">
        <f t="shared" si="7"/>
        <v>2.417027398469358E-5</v>
      </c>
      <c r="P7" s="34">
        <f t="shared" si="8"/>
        <v>5.3230556402608087E-5</v>
      </c>
      <c r="S7" s="17">
        <f t="shared" si="9"/>
        <v>0.2</v>
      </c>
      <c r="T7" s="17">
        <f t="shared" si="1"/>
        <v>0.8</v>
      </c>
      <c r="U7" s="34">
        <f t="shared" si="0"/>
        <v>9.6751838233086071E-2</v>
      </c>
      <c r="V7" s="34">
        <f t="shared" si="2"/>
        <v>3.4769834724359745E-2</v>
      </c>
      <c r="W7" t="s">
        <v>292</v>
      </c>
      <c r="X7" s="17">
        <v>0.69276284703073387</v>
      </c>
      <c r="Y7" s="17">
        <f>1-X7</f>
        <v>0.30723715296926613</v>
      </c>
      <c r="Z7" s="35">
        <f>SQRT((X7*$H$3)^2+(Y7*$I$3)^2+2*X7*Y7*$H$3*$I$3*$H$4)</f>
        <v>6.4685761931832661E-2</v>
      </c>
      <c r="AA7" s="34">
        <f>X7*$H$2+Y7*$I$2</f>
        <v>2.9129253664760161E-2</v>
      </c>
      <c r="AB7" s="34"/>
      <c r="AC7" t="s">
        <v>234</v>
      </c>
      <c r="AD7" s="17">
        <v>0.02</v>
      </c>
      <c r="AE7" s="17">
        <v>0.01</v>
      </c>
    </row>
    <row r="8" spans="2:31">
      <c r="B8" s="13">
        <v>45017</v>
      </c>
      <c r="C8" s="6">
        <v>78.646675000000002</v>
      </c>
      <c r="D8" s="8">
        <f t="shared" si="3"/>
        <v>9.2715213385458961E-2</v>
      </c>
      <c r="E8" s="6">
        <v>11.248548</v>
      </c>
      <c r="F8" s="8">
        <f t="shared" si="3"/>
        <v>0.15916946174205771</v>
      </c>
      <c r="K8" s="8">
        <f t="shared" si="4"/>
        <v>6.7102856492211399E-2</v>
      </c>
      <c r="L8" s="8">
        <f t="shared" si="5"/>
        <v>4.5027933494143175E-3</v>
      </c>
      <c r="M8" s="33">
        <f t="shared" si="6"/>
        <v>0.12211025755991992</v>
      </c>
      <c r="N8" s="33">
        <f t="shared" si="7"/>
        <v>1.4910915001349979E-2</v>
      </c>
      <c r="P8" s="34">
        <f t="shared" si="8"/>
        <v>8.1939470892702787E-3</v>
      </c>
      <c r="S8" s="17">
        <f t="shared" si="9"/>
        <v>0.25</v>
      </c>
      <c r="T8" s="17">
        <f t="shared" si="1"/>
        <v>0.75</v>
      </c>
      <c r="U8" s="34">
        <f t="shared" si="0"/>
        <v>9.237800994278339E-2</v>
      </c>
      <c r="V8" s="34">
        <f t="shared" si="2"/>
        <v>3.4197492359915233E-2</v>
      </c>
      <c r="AC8" t="s">
        <v>293</v>
      </c>
      <c r="AD8" s="4">
        <f>(AD5-AD6)/AD7</f>
        <v>3.4999999999999996</v>
      </c>
      <c r="AE8" s="4">
        <f>(AE5-AE6)/AE7</f>
        <v>8</v>
      </c>
    </row>
    <row r="9" spans="2:31">
      <c r="B9" s="13">
        <v>45047</v>
      </c>
      <c r="C9" s="6">
        <v>77.623649999999998</v>
      </c>
      <c r="D9" s="8">
        <f t="shared" si="3"/>
        <v>-1.3007860790046165E-2</v>
      </c>
      <c r="E9" s="6">
        <v>10.778460000000001</v>
      </c>
      <c r="F9" s="8">
        <f t="shared" si="3"/>
        <v>-4.1790993824269478E-2</v>
      </c>
      <c r="K9" s="8">
        <f t="shared" si="4"/>
        <v>-3.8620217683293732E-2</v>
      </c>
      <c r="L9" s="8">
        <f t="shared" si="5"/>
        <v>1.491521213904994E-3</v>
      </c>
      <c r="M9" s="33">
        <f t="shared" si="6"/>
        <v>-7.8850198006407274E-2</v>
      </c>
      <c r="N9" s="33">
        <f t="shared" si="7"/>
        <v>6.2173537256496334E-3</v>
      </c>
      <c r="P9" s="34">
        <f t="shared" si="8"/>
        <v>3.0452118113782622E-3</v>
      </c>
      <c r="S9" s="17">
        <f t="shared" si="9"/>
        <v>0.3</v>
      </c>
      <c r="T9" s="17">
        <f t="shared" si="1"/>
        <v>0.7</v>
      </c>
      <c r="U9" s="34">
        <f t="shared" si="0"/>
        <v>8.817410256514277E-2</v>
      </c>
      <c r="V9" s="34">
        <f t="shared" si="2"/>
        <v>3.362514999547072E-2</v>
      </c>
      <c r="X9" t="s">
        <v>294</v>
      </c>
      <c r="Y9" s="38">
        <v>4.58E-2</v>
      </c>
    </row>
    <row r="10" spans="2:31">
      <c r="B10" s="13">
        <v>45078</v>
      </c>
      <c r="C10" s="6">
        <v>78.213195999999996</v>
      </c>
      <c r="D10" s="8">
        <f t="shared" si="3"/>
        <v>7.5949275768402878E-3</v>
      </c>
      <c r="E10" s="6">
        <v>14.04</v>
      </c>
      <c r="F10" s="8">
        <f t="shared" si="3"/>
        <v>0.30259795926319699</v>
      </c>
      <c r="K10" s="8">
        <f t="shared" si="4"/>
        <v>-1.8017429316407277E-2</v>
      </c>
      <c r="L10" s="8">
        <f t="shared" si="5"/>
        <v>3.2462775917173239E-4</v>
      </c>
      <c r="M10" s="33">
        <f t="shared" si="6"/>
        <v>0.26553875508105917</v>
      </c>
      <c r="N10" s="33">
        <f t="shared" si="7"/>
        <v>7.0510830449998729E-2</v>
      </c>
      <c r="P10" s="34">
        <f t="shared" si="8"/>
        <v>-4.7843257504397675E-3</v>
      </c>
      <c r="S10" s="17">
        <f t="shared" si="9"/>
        <v>0.35</v>
      </c>
      <c r="T10" s="17">
        <f t="shared" si="1"/>
        <v>0.65</v>
      </c>
      <c r="U10" s="34">
        <f t="shared" si="0"/>
        <v>8.4165581611602064E-2</v>
      </c>
      <c r="V10" s="34">
        <f t="shared" si="2"/>
        <v>3.3052807631026214E-2</v>
      </c>
      <c r="X10" t="s">
        <v>295</v>
      </c>
      <c r="Y10" s="38">
        <f>Y9/12</f>
        <v>3.8166666666666666E-3</v>
      </c>
      <c r="AC10" s="5">
        <v>2021</v>
      </c>
      <c r="AD10" s="5">
        <v>2022</v>
      </c>
      <c r="AE10" s="5" t="s">
        <v>296</v>
      </c>
    </row>
    <row r="11" spans="2:31">
      <c r="B11" s="13">
        <v>45108</v>
      </c>
      <c r="C11" s="6">
        <v>90.102385999999996</v>
      </c>
      <c r="D11" s="8">
        <f t="shared" si="3"/>
        <v>0.15201002654334697</v>
      </c>
      <c r="E11" s="6">
        <v>14.32</v>
      </c>
      <c r="F11" s="8">
        <f t="shared" si="3"/>
        <v>1.9943019943020026E-2</v>
      </c>
      <c r="K11" s="8">
        <f t="shared" si="4"/>
        <v>0.12639766965009941</v>
      </c>
      <c r="L11" s="8">
        <f t="shared" si="5"/>
        <v>1.5976370892975662E-2</v>
      </c>
      <c r="M11" s="33">
        <f t="shared" si="6"/>
        <v>-1.7116184239117763E-2</v>
      </c>
      <c r="N11" s="33">
        <f t="shared" si="7"/>
        <v>2.929637629074233E-4</v>
      </c>
      <c r="P11" s="34">
        <f t="shared" si="8"/>
        <v>-2.1634458011262452E-3</v>
      </c>
      <c r="S11" s="17">
        <f t="shared" si="9"/>
        <v>0.39999999999999997</v>
      </c>
      <c r="T11" s="17">
        <f t="shared" si="1"/>
        <v>0.60000000000000009</v>
      </c>
      <c r="U11" s="34">
        <f t="shared" si="0"/>
        <v>8.0381683333591511E-2</v>
      </c>
      <c r="V11" s="34">
        <f t="shared" si="2"/>
        <v>3.2480465266581701E-2</v>
      </c>
      <c r="X11" s="39" t="s">
        <v>297</v>
      </c>
      <c r="Y11" s="40">
        <f>(AA7-Y10)/Z7</f>
        <v>0.39131620687669227</v>
      </c>
      <c r="AB11" t="s">
        <v>298</v>
      </c>
      <c r="AC11" s="5">
        <v>100</v>
      </c>
      <c r="AD11" s="5">
        <v>150</v>
      </c>
      <c r="AE11" s="5">
        <v>20</v>
      </c>
    </row>
    <row r="12" spans="2:31">
      <c r="B12" s="13">
        <v>45139</v>
      </c>
      <c r="C12" s="6">
        <v>100.026428</v>
      </c>
      <c r="D12" s="8">
        <f t="shared" si="3"/>
        <v>0.11014183353590659</v>
      </c>
      <c r="E12" s="6">
        <v>15</v>
      </c>
      <c r="F12" s="8">
        <f t="shared" si="3"/>
        <v>4.748603351955305E-2</v>
      </c>
      <c r="K12" s="8">
        <f t="shared" si="4"/>
        <v>8.4529476642659029E-2</v>
      </c>
      <c r="L12" s="8">
        <f t="shared" si="5"/>
        <v>7.1452324214818386E-3</v>
      </c>
      <c r="M12" s="33">
        <f t="shared" si="6"/>
        <v>1.0426829337415261E-2</v>
      </c>
      <c r="N12" s="33">
        <f t="shared" si="7"/>
        <v>1.0871877003158357E-4</v>
      </c>
      <c r="P12" s="34">
        <f t="shared" si="8"/>
        <v>8.813744269340352E-4</v>
      </c>
      <c r="S12" s="17">
        <f t="shared" si="9"/>
        <v>0.44999999999999996</v>
      </c>
      <c r="T12" s="17">
        <f t="shared" si="1"/>
        <v>0.55000000000000004</v>
      </c>
      <c r="U12" s="34">
        <f t="shared" si="0"/>
        <v>7.6855592026448649E-2</v>
      </c>
      <c r="V12" s="34">
        <f t="shared" si="2"/>
        <v>3.1908122902137188E-2</v>
      </c>
      <c r="AB12" t="s">
        <v>299</v>
      </c>
      <c r="AC12" s="23">
        <f>(AD11-AC11+AE11)/AC11</f>
        <v>0.7</v>
      </c>
    </row>
    <row r="13" spans="2:31">
      <c r="B13" s="13">
        <v>45170</v>
      </c>
      <c r="C13" s="6">
        <v>96.800003000000004</v>
      </c>
      <c r="D13" s="8">
        <f t="shared" si="3"/>
        <v>-3.2255725456876175E-2</v>
      </c>
      <c r="E13" s="6">
        <v>13.34</v>
      </c>
      <c r="F13" s="8">
        <f t="shared" si="3"/>
        <v>-0.11066666666666668</v>
      </c>
      <c r="K13" s="8">
        <f t="shared" si="4"/>
        <v>-5.7868082350123737E-2</v>
      </c>
      <c r="L13" s="8">
        <f t="shared" si="5"/>
        <v>3.3487149548807023E-3</v>
      </c>
      <c r="M13" s="33">
        <f t="shared" si="6"/>
        <v>-0.14772587084880445</v>
      </c>
      <c r="N13" s="33">
        <f t="shared" si="7"/>
        <v>2.1822932918037653E-2</v>
      </c>
      <c r="P13" s="34">
        <f t="shared" si="8"/>
        <v>8.5486128595223601E-3</v>
      </c>
      <c r="S13" s="17">
        <f t="shared" si="9"/>
        <v>0.49999999999999994</v>
      </c>
      <c r="T13" s="17">
        <f t="shared" si="1"/>
        <v>0.5</v>
      </c>
      <c r="U13" s="34">
        <f t="shared" si="0"/>
        <v>7.3624358459694922E-2</v>
      </c>
      <c r="V13" s="34">
        <f t="shared" si="2"/>
        <v>3.1335780537692676E-2</v>
      </c>
    </row>
    <row r="14" spans="2:31">
      <c r="B14" s="13">
        <v>45200</v>
      </c>
      <c r="C14" s="6">
        <v>92</v>
      </c>
      <c r="D14" s="8">
        <f t="shared" si="3"/>
        <v>-4.9586806314458519E-2</v>
      </c>
      <c r="E14" s="6">
        <v>12.64</v>
      </c>
      <c r="F14" s="8">
        <f t="shared" si="3"/>
        <v>-5.2473763118440729E-2</v>
      </c>
      <c r="K14" s="8">
        <f t="shared" si="4"/>
        <v>-7.5199163207706088E-2</v>
      </c>
      <c r="L14" s="8">
        <f t="shared" si="5"/>
        <v>5.6549141471392171E-3</v>
      </c>
      <c r="M14" s="33">
        <f t="shared" si="6"/>
        <v>-8.9532967300578525E-2</v>
      </c>
      <c r="N14" s="33">
        <f t="shared" si="7"/>
        <v>8.0161522336464636E-3</v>
      </c>
      <c r="P14" s="34">
        <f t="shared" si="8"/>
        <v>6.7328042205064172E-3</v>
      </c>
      <c r="S14" s="17">
        <f t="shared" si="9"/>
        <v>0.54999999999999993</v>
      </c>
      <c r="T14" s="17">
        <f t="shared" si="1"/>
        <v>0.45000000000000007</v>
      </c>
      <c r="U14" s="34">
        <f t="shared" si="0"/>
        <v>7.072840599178655E-2</v>
      </c>
      <c r="V14" s="34">
        <f t="shared" si="2"/>
        <v>3.076343817324817E-2</v>
      </c>
      <c r="AB14" t="s">
        <v>300</v>
      </c>
    </row>
    <row r="15" spans="2:31">
      <c r="L15" s="8">
        <f>SUM(L4:L14)</f>
        <v>4.3090292341970482E-2</v>
      </c>
      <c r="N15" s="8">
        <f>SUM(N4:N14)</f>
        <v>0.13351775350166339</v>
      </c>
      <c r="P15" s="8">
        <f>SUM(P4:P14)</f>
        <v>2.0106900250216081E-2</v>
      </c>
      <c r="S15" s="17">
        <f>S14+5%</f>
        <v>0.6</v>
      </c>
      <c r="T15" s="17">
        <f t="shared" si="1"/>
        <v>0.4</v>
      </c>
      <c r="U15" s="34">
        <f t="shared" si="0"/>
        <v>6.8210452222133261E-2</v>
      </c>
      <c r="V15" s="34">
        <f t="shared" si="2"/>
        <v>3.0191095808803657E-2</v>
      </c>
      <c r="AA15" t="s">
        <v>301</v>
      </c>
      <c r="AB15" s="17">
        <v>0.1</v>
      </c>
      <c r="AC15" s="23">
        <f>(1+AB15)^(12/13)-1</f>
        <v>9.1964783774217906E-2</v>
      </c>
    </row>
    <row r="16" spans="2:31">
      <c r="B16" t="s">
        <v>302</v>
      </c>
      <c r="D16" s="33">
        <f>AVERAGE(D4:D14)</f>
        <v>2.5612356893247566E-2</v>
      </c>
      <c r="F16" s="33">
        <f>AVERAGE(F4:F14)</f>
        <v>3.7059204182137789E-2</v>
      </c>
      <c r="K16" s="5" t="s">
        <v>303</v>
      </c>
      <c r="L16" s="8">
        <f>L15/10</f>
        <v>4.3090292341970479E-3</v>
      </c>
      <c r="N16" s="8">
        <f>N15/10</f>
        <v>1.335177535016634E-2</v>
      </c>
      <c r="P16" s="5">
        <f>P15/10</f>
        <v>2.0106900250216079E-3</v>
      </c>
      <c r="S16" s="17">
        <f t="shared" si="9"/>
        <v>0.65</v>
      </c>
      <c r="T16" s="17">
        <f t="shared" si="1"/>
        <v>0.35</v>
      </c>
      <c r="U16" s="34">
        <f t="shared" si="0"/>
        <v>6.6113699739376711E-2</v>
      </c>
      <c r="V16" s="34">
        <f t="shared" si="2"/>
        <v>2.9618753444359144E-2</v>
      </c>
      <c r="AA16" t="s">
        <v>304</v>
      </c>
      <c r="AB16" s="17">
        <v>7.0000000000000007E-2</v>
      </c>
      <c r="AC16" s="41">
        <f>(1+AB16)^(52/5)-1</f>
        <v>1.0211162223739039</v>
      </c>
    </row>
    <row r="17" spans="2:22">
      <c r="B17" t="s">
        <v>284</v>
      </c>
      <c r="C17">
        <f>_xlfn.COVARIANCE.S(D4:D14,F4:F14)</f>
        <v>2.0106900250216079E-3</v>
      </c>
      <c r="K17" s="5" t="s">
        <v>234</v>
      </c>
      <c r="L17" s="43">
        <f>SQRT(L16)</f>
        <v>6.5643196404479326E-2</v>
      </c>
      <c r="N17" s="43">
        <f>SQRT(N16)</f>
        <v>0.11554988251905036</v>
      </c>
      <c r="S17" s="17">
        <f t="shared" si="9"/>
        <v>0.70000000000000007</v>
      </c>
      <c r="T17" s="17">
        <f t="shared" si="1"/>
        <v>0.29999999999999993</v>
      </c>
      <c r="U17" s="34">
        <f t="shared" si="0"/>
        <v>6.4479251831737305E-2</v>
      </c>
      <c r="V17" s="34">
        <f t="shared" si="2"/>
        <v>2.9046411079914632E-2</v>
      </c>
    </row>
    <row r="18" spans="2:22">
      <c r="B18" t="s">
        <v>305</v>
      </c>
      <c r="C18" s="44">
        <f>CORREL(D4:D14,F4:F14)</f>
        <v>0.26508545246080611</v>
      </c>
      <c r="S18" s="17">
        <f t="shared" si="9"/>
        <v>0.75000000000000011</v>
      </c>
      <c r="T18" s="17">
        <f t="shared" si="1"/>
        <v>0.24999999999999989</v>
      </c>
      <c r="U18" s="34">
        <f t="shared" si="0"/>
        <v>6.3342905388088566E-2</v>
      </c>
      <c r="V18" s="34">
        <f t="shared" si="2"/>
        <v>2.8474068715470122E-2</v>
      </c>
    </row>
    <row r="19" spans="2:22">
      <c r="S19" s="17">
        <f t="shared" si="9"/>
        <v>0.80000000000000016</v>
      </c>
      <c r="T19" s="17">
        <f t="shared" si="1"/>
        <v>0.19999999999999984</v>
      </c>
      <c r="U19" s="34">
        <f t="shared" si="0"/>
        <v>6.2731734647622162E-2</v>
      </c>
      <c r="V19" s="34">
        <f t="shared" si="2"/>
        <v>2.790172635102561E-2</v>
      </c>
    </row>
    <row r="20" spans="2:22">
      <c r="B20" t="s">
        <v>306</v>
      </c>
      <c r="S20" s="17">
        <f t="shared" si="9"/>
        <v>0.8500000000000002</v>
      </c>
      <c r="T20" s="17">
        <f t="shared" si="1"/>
        <v>0.1499999999999998</v>
      </c>
      <c r="U20" s="34">
        <f t="shared" si="0"/>
        <v>6.2661108540039562E-2</v>
      </c>
      <c r="V20" s="34">
        <f t="shared" si="2"/>
        <v>2.73293839865811E-2</v>
      </c>
    </row>
    <row r="21" spans="2:22">
      <c r="C21" s="44">
        <f>P16/(H3*I3)</f>
        <v>0.26508545246080606</v>
      </c>
      <c r="S21" s="17">
        <f>S20+5%</f>
        <v>0.90000000000000024</v>
      </c>
      <c r="T21" s="17">
        <f t="shared" si="1"/>
        <v>9.9999999999999756E-2</v>
      </c>
      <c r="U21" s="34">
        <f t="shared" si="0"/>
        <v>6.313284119778835E-2</v>
      </c>
      <c r="V21" s="34">
        <f t="shared" si="2"/>
        <v>2.6757041622136588E-2</v>
      </c>
    </row>
    <row r="22" spans="2:22">
      <c r="S22" s="17">
        <f t="shared" si="9"/>
        <v>0.95000000000000029</v>
      </c>
      <c r="T22" s="17">
        <f t="shared" si="1"/>
        <v>4.9999999999999711E-2</v>
      </c>
      <c r="U22" s="34">
        <f t="shared" si="0"/>
        <v>6.4134966084151826E-2</v>
      </c>
      <c r="V22" s="34">
        <f t="shared" si="2"/>
        <v>2.6184699257692071E-2</v>
      </c>
    </row>
    <row r="23" spans="2:22">
      <c r="S23" s="17">
        <f t="shared" si="9"/>
        <v>1.0000000000000002</v>
      </c>
      <c r="T23" s="17">
        <f t="shared" si="1"/>
        <v>0</v>
      </c>
      <c r="U23" s="36">
        <f t="shared" si="0"/>
        <v>6.564319640447934E-2</v>
      </c>
      <c r="V23" s="34">
        <f t="shared" si="2"/>
        <v>2.5612356893247572E-2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10F99E-D3BD-4B92-B1FF-1800562D57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Bekzhan Burshakbayev</dc:creator>
  <cp:keywords/>
  <dc:description/>
  <cp:lastModifiedBy>Aruzhan M. Seitkaziyeva</cp:lastModifiedBy>
  <cp:revision/>
  <dcterms:created xsi:type="dcterms:W3CDTF">2023-10-09T05:19:31Z</dcterms:created>
  <dcterms:modified xsi:type="dcterms:W3CDTF">2023-10-20T08:55:47Z</dcterms:modified>
  <cp:category/>
  <cp:contentStatus/>
</cp:coreProperties>
</file>